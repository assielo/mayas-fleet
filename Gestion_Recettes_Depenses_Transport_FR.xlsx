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P:\MAYAS TRANSPORT\MAYASTRANSPORT\"/>
    </mc:Choice>
  </mc:AlternateContent>
  <xr:revisionPtr revIDLastSave="0" documentId="13_ncr:1_{7FAD0F5B-9B22-444C-94C4-DECA821D1AA7}" xr6:coauthVersionLast="47" xr6:coauthVersionMax="47" xr10:uidLastSave="{00000000-0000-0000-0000-000000000000}"/>
  <bookViews>
    <workbookView xWindow="-110" yWindow="-110" windowWidth="19420" windowHeight="10300" firstSheet="15" activeTab="17" xr2:uid="{00000000-000D-0000-FFFF-FFFF00000000}"/>
  </bookViews>
  <sheets>
    <sheet name="Recettes Journaliere Octobre" sheetId="8" r:id="rId1"/>
    <sheet name="Recettes Journaliere Novembre" sheetId="6" r:id="rId2"/>
    <sheet name="Recettes Journaliere Decembre" sheetId="10" r:id="rId3"/>
    <sheet name="Recettes Journaliere Janvie" sheetId="12" r:id="rId4"/>
    <sheet name="Recettes Journaliere Février" sheetId="13" r:id="rId5"/>
    <sheet name="Recettes Journaliere Mars " sheetId="15" r:id="rId6"/>
    <sheet name="Recettes Journaliere Avril" sheetId="14" r:id="rId7"/>
    <sheet name="Recettes Journaliere Mai" sheetId="19" r:id="rId8"/>
    <sheet name="Juin " sheetId="27" r:id="rId9"/>
    <sheet name="Juillet" sheetId="28" r:id="rId10"/>
    <sheet name="Aout" sheetId="29" r:id="rId11"/>
    <sheet name="Septembre" sheetId="30" r:id="rId12"/>
    <sheet name="Recettes Mensuel" sheetId="1" r:id="rId13"/>
    <sheet name="Versement Bancaire" sheetId="2" r:id="rId14"/>
    <sheet name="Versement Bancaire Rembouseemen" sheetId="18" r:id="rId15"/>
    <sheet name="Suivi Remboursement" sheetId="17" r:id="rId16"/>
    <sheet name="Flotte Automobile" sheetId="24" r:id="rId17"/>
    <sheet name="Suivi Assurance" sheetId="23" r:id="rId18"/>
    <sheet name="Suivi Annuel 2026" sheetId="26"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7" l="1"/>
  <c r="G2" i="2"/>
  <c r="H17" i="1"/>
  <c r="H16" i="1"/>
  <c r="E9" i="30"/>
  <c r="F9" i="30"/>
  <c r="F2" i="18"/>
  <c r="J9" i="30"/>
  <c r="J9" i="29"/>
  <c r="E46" i="28"/>
  <c r="E28" i="28"/>
  <c r="F38" i="27"/>
  <c r="J9" i="28"/>
  <c r="E37" i="28"/>
  <c r="E18" i="28"/>
  <c r="E38" i="27"/>
  <c r="H38" i="27"/>
  <c r="E29" i="27"/>
  <c r="E19" i="27"/>
  <c r="K7" i="27"/>
  <c r="E7" i="27"/>
  <c r="H15" i="2" l="1"/>
  <c r="H15" i="1"/>
  <c r="P10" i="26"/>
  <c r="P11" i="26" s="1"/>
  <c r="O10" i="26"/>
  <c r="O11" i="26" s="1"/>
  <c r="N10" i="26"/>
  <c r="N11" i="26" s="1"/>
  <c r="M10" i="26"/>
  <c r="M11" i="26" s="1"/>
  <c r="L10" i="26"/>
  <c r="L11" i="26" s="1"/>
  <c r="K10" i="26"/>
  <c r="K11" i="26" s="1"/>
  <c r="J10" i="26"/>
  <c r="J11" i="26" s="1"/>
  <c r="I10" i="26"/>
  <c r="I11" i="26" s="1"/>
  <c r="H10" i="26"/>
  <c r="H11" i="26" s="1"/>
  <c r="G10" i="26"/>
  <c r="G11" i="26" s="1"/>
  <c r="F10" i="26"/>
  <c r="F11" i="26" s="1"/>
  <c r="E10" i="26"/>
  <c r="E11" i="26" s="1"/>
  <c r="Q6" i="26"/>
  <c r="Q5" i="26"/>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9" i="23"/>
  <c r="G468"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4" i="23"/>
  <c r="G433"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9" i="23"/>
  <c r="G398" i="23"/>
  <c r="G397"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4" i="23"/>
  <c r="G363"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8" i="23"/>
  <c r="G327"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4" i="23"/>
  <c r="G293" i="23"/>
  <c r="G292"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9" i="23"/>
  <c r="G258" i="23"/>
  <c r="G257"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4" i="23"/>
  <c r="G223" i="23"/>
  <c r="G222"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9" i="23"/>
  <c r="G188"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4" i="23"/>
  <c r="G153"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8"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3"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16" i="23"/>
  <c r="G15" i="23"/>
  <c r="G14" i="23"/>
  <c r="G13" i="23"/>
  <c r="G12" i="23"/>
  <c r="G11" i="23"/>
  <c r="G10" i="23"/>
  <c r="G9" i="23"/>
  <c r="G8" i="23"/>
  <c r="G7" i="23"/>
  <c r="G6" i="23"/>
  <c r="G5" i="23"/>
  <c r="G4" i="23"/>
  <c r="G3" i="23"/>
  <c r="G2" i="23"/>
  <c r="K8" i="14"/>
  <c r="K9" i="8"/>
  <c r="E4" i="17"/>
  <c r="E2" i="17"/>
  <c r="K8" i="19"/>
  <c r="H14" i="1"/>
  <c r="E9" i="19"/>
  <c r="H13" i="1"/>
  <c r="E38" i="19"/>
  <c r="E30" i="19"/>
  <c r="H38" i="19"/>
  <c r="E20" i="19"/>
  <c r="E18" i="14"/>
  <c r="H12" i="1"/>
  <c r="E37"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3" i="17"/>
  <c r="H37" i="15"/>
  <c r="E37" i="15"/>
  <c r="E28" i="15"/>
  <c r="H18" i="15"/>
  <c r="E18" i="15"/>
  <c r="H9" i="15"/>
  <c r="F9" i="15"/>
  <c r="E9" i="15"/>
  <c r="K8" i="15"/>
  <c r="H2" i="1"/>
  <c r="H37" i="14"/>
  <c r="H10" i="1"/>
  <c r="K8" i="13"/>
  <c r="E26" i="13"/>
  <c r="E35" i="13"/>
  <c r="E18" i="13"/>
  <c r="E9" i="13"/>
  <c r="H11" i="1"/>
  <c r="H35" i="13"/>
  <c r="H18" i="13"/>
  <c r="I9" i="13"/>
  <c r="H9" i="13"/>
  <c r="F9" i="13"/>
  <c r="K8" i="12"/>
  <c r="E9" i="12"/>
  <c r="F9" i="12"/>
  <c r="H9" i="12"/>
  <c r="I9" i="12"/>
  <c r="E18" i="12"/>
  <c r="H18" i="12"/>
  <c r="H37" i="12"/>
  <c r="F37" i="12"/>
  <c r="E37" i="12"/>
  <c r="F28" i="12"/>
  <c r="E28" i="12"/>
  <c r="E37" i="10"/>
  <c r="E28" i="10"/>
  <c r="H9" i="1"/>
  <c r="K8" i="6"/>
  <c r="E40" i="6"/>
  <c r="H37" i="10"/>
  <c r="F37" i="10"/>
  <c r="H28" i="10"/>
  <c r="F28" i="10"/>
  <c r="H18" i="10"/>
  <c r="F18" i="10"/>
  <c r="E18" i="10"/>
  <c r="I9" i="10"/>
  <c r="H9" i="10"/>
  <c r="F9" i="10"/>
  <c r="E9" i="10"/>
  <c r="K8" i="10"/>
  <c r="F40" i="6"/>
  <c r="H40" i="6"/>
  <c r="E30" i="6"/>
  <c r="H18" i="6"/>
  <c r="F18" i="6"/>
  <c r="E18" i="6"/>
  <c r="I9" i="6"/>
  <c r="H9" i="6"/>
  <c r="F9" i="6"/>
  <c r="E9" i="6"/>
  <c r="E45" i="8"/>
  <c r="H45" i="8"/>
  <c r="F45" i="8"/>
  <c r="H36" i="8"/>
  <c r="F36" i="8"/>
  <c r="E36" i="8"/>
  <c r="H28" i="8"/>
  <c r="F28" i="8"/>
  <c r="E28" i="8"/>
  <c r="H16" i="8"/>
  <c r="F16" i="8"/>
  <c r="E16" i="8"/>
  <c r="F6" i="8"/>
  <c r="E6" i="8"/>
  <c r="H30" i="6"/>
  <c r="F30" i="6"/>
  <c r="H6" i="1"/>
  <c r="H5" i="1"/>
  <c r="H4" i="1"/>
  <c r="H3" i="1"/>
  <c r="Q10" i="26" l="1"/>
  <c r="Q11" i="26" s="1"/>
  <c r="J2" i="1"/>
</calcChain>
</file>

<file path=xl/sharedStrings.xml><?xml version="1.0" encoding="utf-8"?>
<sst xmlns="http://schemas.openxmlformats.org/spreadsheetml/2006/main" count="1994" uniqueCount="256">
  <si>
    <t>Date</t>
  </si>
  <si>
    <t>Véhicule</t>
  </si>
  <si>
    <t>Montant (FCFA)</t>
  </si>
  <si>
    <t>Mode de paiement</t>
  </si>
  <si>
    <t>Observation</t>
  </si>
  <si>
    <t>Espèces</t>
  </si>
  <si>
    <t>Type de dépense</t>
  </si>
  <si>
    <t>Description</t>
  </si>
  <si>
    <t>Mois</t>
  </si>
  <si>
    <t>Camion Mamoud</t>
  </si>
  <si>
    <t>Mayas Transport</t>
  </si>
  <si>
    <t>Camion Kassim</t>
  </si>
  <si>
    <t>Entreprise</t>
  </si>
  <si>
    <t>Colonne1</t>
  </si>
  <si>
    <t>Octobre</t>
  </si>
  <si>
    <t>MAYAS-CARGO</t>
  </si>
  <si>
    <t xml:space="preserve">MOBILE </t>
  </si>
  <si>
    <t>Carburant (FCFA)</t>
  </si>
  <si>
    <t>Dimanche</t>
  </si>
  <si>
    <t>recharge yango</t>
  </si>
  <si>
    <t>unités</t>
  </si>
  <si>
    <t>OCTOBRE</t>
  </si>
  <si>
    <t>Verssement</t>
  </si>
  <si>
    <t>Colonne2</t>
  </si>
  <si>
    <t>Colonne3</t>
  </si>
  <si>
    <t>Colonne4</t>
  </si>
  <si>
    <t>Colonne5</t>
  </si>
  <si>
    <t>Colonne6</t>
  </si>
  <si>
    <t>Colonne7</t>
  </si>
  <si>
    <t>Colonne8</t>
  </si>
  <si>
    <t>Colonne9</t>
  </si>
  <si>
    <t>£</t>
  </si>
  <si>
    <t>Coris-Bank de MAYAS-TRANSPORT CARGO</t>
  </si>
  <si>
    <t>Coris-Bank de MAYAS-TRANSPORT KASSIM</t>
  </si>
  <si>
    <t>Recette du 07/10/2025 au 17/10/2025</t>
  </si>
  <si>
    <t>Date du verssement</t>
  </si>
  <si>
    <t>Novembre</t>
  </si>
  <si>
    <t>Janvier</t>
  </si>
  <si>
    <t>Total</t>
  </si>
  <si>
    <t>Soudjata Ivograin</t>
  </si>
  <si>
    <t>DIMANCHE</t>
  </si>
  <si>
    <t>Recette du 18/10/2025 au 31/10/2025</t>
  </si>
  <si>
    <t>22 J * 25000 fcfa = 550 000 fcfa</t>
  </si>
  <si>
    <t>29 J * 25000 fcfa = 725 000 fcfa</t>
  </si>
  <si>
    <t>Total des recettes du mois de NOVEMBRE</t>
  </si>
  <si>
    <t>Total des recettes du mois d’OCTOBRE</t>
  </si>
  <si>
    <t>57000 VIDANGE</t>
  </si>
  <si>
    <t>reparation incident</t>
  </si>
  <si>
    <t>Sekou Cargo</t>
  </si>
  <si>
    <t>07/10/2025 au 07/11/2025</t>
  </si>
  <si>
    <t>NOVEMBRE</t>
  </si>
  <si>
    <t>Recette du 01/11/2025 au 07/11/2025</t>
  </si>
  <si>
    <t xml:space="preserve"> </t>
  </si>
  <si>
    <t>Decembre</t>
  </si>
  <si>
    <t>La recete a été 72000 mais nous avons pris 2000 pour recharger le compte YANGO</t>
  </si>
  <si>
    <t>Total des recettes du mois de DECEMBRE</t>
  </si>
  <si>
    <t>La recette de la semaine a été 186 000 dont 150 000 utiliser pour le caburant du samedi et 20000 pour le rechargement du YANGO donc il reste 15000 dans le coffre wawe</t>
  </si>
  <si>
    <t>08/11/2025 au 05/12/2025</t>
  </si>
  <si>
    <t>Montant non versé, enregistré à la demande du boss.</t>
  </si>
  <si>
    <t xml:space="preserve">Montant versé à la banque </t>
  </si>
  <si>
    <t>Aout 2025</t>
  </si>
  <si>
    <t>DÉCEMBRE</t>
  </si>
  <si>
    <t>La recette du samedi s’élève à 61 200 FCFA.
Les dépenses effectuées sont les suivantes :
10 000 FCFA : carburant pour mardi
5 000 FCFA : recharge unités et internet
20 000 FCFA : entretien
Après déduction de ces dépenses, nous avons enregistré 15 000 FCFA comme recette.</t>
  </si>
  <si>
    <t>Voiture au garage pour entretien, donc pas en service.</t>
  </si>
  <si>
    <t>recharge yango &amp; Unités</t>
  </si>
  <si>
    <t>5000 unités</t>
  </si>
  <si>
    <t>30000 yango</t>
  </si>
  <si>
    <t>Recette du 06/12/2025 au 19/12/2025</t>
  </si>
  <si>
    <t>MAYAS VOLAILLE doit une somme de 50 000 fcfa donc ce qui nous donne une recette de 150 000 pour la semaine mais il y'a 95 000 dans le coffre wawe</t>
  </si>
  <si>
    <t>30000 Fcfa ont été utiliser pour le rechargement YANGO.</t>
  </si>
  <si>
    <t>Nous devons conpleter 95000 pour fa</t>
  </si>
  <si>
    <t>06/12/2025 au 02/01/2026</t>
  </si>
  <si>
    <t>Recette du 20/12/2025 au 02/01/2026</t>
  </si>
  <si>
    <t>35000 recharge</t>
  </si>
  <si>
    <t>caburant 15000</t>
  </si>
  <si>
    <t>JANVIER</t>
  </si>
  <si>
    <t>Recette du 03/01/2026 au 17/01/2026</t>
  </si>
  <si>
    <t>Recette du 21/11/2025 au 05/05/2025</t>
  </si>
  <si>
    <t>Recette du 08/11/2025 au 21/11/2025</t>
  </si>
  <si>
    <t>RECHARGEMENT YANGO 33000</t>
  </si>
  <si>
    <t>10 000 fcfa ont été pris par aicha pour le caburant de 180 on passe a 170</t>
  </si>
  <si>
    <t>Aicha doit la recette de la journée du samedi 25  000</t>
  </si>
  <si>
    <t>T</t>
  </si>
  <si>
    <t>Février</t>
  </si>
  <si>
    <t>Rechargement YANGO 30000</t>
  </si>
  <si>
    <t>135000 dans le coffre et 25000 Avec Aicha au total 160000 pour la semaine</t>
  </si>
  <si>
    <t>Rechagement YANGO 20000</t>
  </si>
  <si>
    <t>Recette du 31/01/2026 au 13/02/2026</t>
  </si>
  <si>
    <t>FEVRIER</t>
  </si>
  <si>
    <t xml:space="preserve">Rechagement YANGO 20000 et caburant 15000 </t>
  </si>
  <si>
    <t>03/01/2026 au 31/01/2025</t>
  </si>
  <si>
    <t>02/02/2026 au 27/02/2026</t>
  </si>
  <si>
    <t>Recette du 02/02/2026 au 27/02/2026</t>
  </si>
  <si>
    <t>Mars</t>
  </si>
  <si>
    <t xml:space="preserve">20 000 fcfa </t>
  </si>
  <si>
    <t>20 000 fcfa</t>
  </si>
  <si>
    <t>MOBILE</t>
  </si>
  <si>
    <t>100000 salaire de fevrier SEKOU</t>
  </si>
  <si>
    <t>La recette de cette semaine a été 130 000 fcfa nous avons completer a 150000  et mis dans le coffe wawe</t>
  </si>
  <si>
    <t xml:space="preserve">IVOGRAIN </t>
  </si>
  <si>
    <t>Le camion d’IVOGRAIN a effectué deux (2) voyages sur l’axe Abidjan – Daloa, pour un montant de 132 000 FCFA par voyage.</t>
  </si>
  <si>
    <t>Renouvellement PATENTE 25 000 fcfa</t>
  </si>
  <si>
    <t xml:space="preserve">Rechargement 25 000 fcfa </t>
  </si>
  <si>
    <t>Compteur a rebours pour le prêt</t>
  </si>
  <si>
    <t>Recette du 01/03/2026 au 17/03/2026</t>
  </si>
  <si>
    <t>MARS</t>
  </si>
  <si>
    <t>N°</t>
  </si>
  <si>
    <t>Date échéance</t>
  </si>
  <si>
    <t>Mensualité prévue</t>
  </si>
  <si>
    <t>Montant payé</t>
  </si>
  <si>
    <t>Écart</t>
  </si>
  <si>
    <t>Date paiement</t>
  </si>
  <si>
    <t>Capital restant réel</t>
  </si>
  <si>
    <t>31/03/2026</t>
  </si>
  <si>
    <t>30/04/2026</t>
  </si>
  <si>
    <t>30/05/2026</t>
  </si>
  <si>
    <t>29/06/2026</t>
  </si>
  <si>
    <t>29/07/2026</t>
  </si>
  <si>
    <t>28/08/2026</t>
  </si>
  <si>
    <t>27/09/2026</t>
  </si>
  <si>
    <t>27/10/2026</t>
  </si>
  <si>
    <t>26/11/2026</t>
  </si>
  <si>
    <t>26/12/2026</t>
  </si>
  <si>
    <t>25/01/2027</t>
  </si>
  <si>
    <t>24/02/2027</t>
  </si>
  <si>
    <t>26/03/2027</t>
  </si>
  <si>
    <t>25/04/2027</t>
  </si>
  <si>
    <t>25/05/2027</t>
  </si>
  <si>
    <t>24/06/2027</t>
  </si>
  <si>
    <t>24/07/2027</t>
  </si>
  <si>
    <t>23/08/2027</t>
  </si>
  <si>
    <t>22/09/2027</t>
  </si>
  <si>
    <t>22/10/2027</t>
  </si>
  <si>
    <t>21/11/2027</t>
  </si>
  <si>
    <t>21/12/2027</t>
  </si>
  <si>
    <t>20/01/2028</t>
  </si>
  <si>
    <t>19/02/2028</t>
  </si>
  <si>
    <t>20/03/2028</t>
  </si>
  <si>
    <t>19/04/2028</t>
  </si>
  <si>
    <t>19/05/2028</t>
  </si>
  <si>
    <t>18/06/2028</t>
  </si>
  <si>
    <t>18/07/2028</t>
  </si>
  <si>
    <t>17/08/2028</t>
  </si>
  <si>
    <t>16/09/2028</t>
  </si>
  <si>
    <t>16/10/2028</t>
  </si>
  <si>
    <t>15/11/2028</t>
  </si>
  <si>
    <t>15/12/2028</t>
  </si>
  <si>
    <t>14/01/2029</t>
  </si>
  <si>
    <t>13/02/2029</t>
  </si>
  <si>
    <t>Especes</t>
  </si>
  <si>
    <t>Recette du 19/03/2026 au 30/03/2026</t>
  </si>
  <si>
    <t>AVRIL</t>
  </si>
  <si>
    <t>01/03/2026 au 31/03/2026</t>
  </si>
  <si>
    <t>Avril</t>
  </si>
  <si>
    <t>Total des recettes du mois de Avril</t>
  </si>
  <si>
    <t>Amortissement de MAYAS-TRANSPORT</t>
  </si>
  <si>
    <t>férié</t>
  </si>
  <si>
    <t>Amortissement de TAXIS</t>
  </si>
  <si>
    <t>150 000 CFA</t>
  </si>
  <si>
    <t>Caburant 15000</t>
  </si>
  <si>
    <t>Rechargement YANGO 25000</t>
  </si>
  <si>
    <t>Rechargement YANGO 40 000</t>
  </si>
  <si>
    <t>Caburant 25 000</t>
  </si>
  <si>
    <t>Recette du 01/04/2026 au 24/04/2026</t>
  </si>
  <si>
    <t>MAI</t>
  </si>
  <si>
    <t>Mai</t>
  </si>
  <si>
    <t>01/04/2026 au 30/04/2026</t>
  </si>
  <si>
    <t>Caburant 20 000</t>
  </si>
  <si>
    <t>La recette a été completer avec la reccete de la semaine passée puisverser a la banque pour amortir le prêt du camion</t>
  </si>
  <si>
    <t>Ferié</t>
  </si>
  <si>
    <t>YANGO 35000</t>
  </si>
  <si>
    <t>150 00 pour le caburant</t>
  </si>
  <si>
    <t>Juin</t>
  </si>
  <si>
    <t>rechargement YANGO 25000 et 5000 unités</t>
  </si>
  <si>
    <t>crevaison de roues</t>
  </si>
  <si>
    <t xml:space="preserve"> reste à payer 10000f</t>
  </si>
  <si>
    <t>Samedi</t>
  </si>
  <si>
    <t>Immatriculation</t>
  </si>
  <si>
    <t>Compagnie Assurance</t>
  </si>
  <si>
    <t>Date Début</t>
  </si>
  <si>
    <t>Date Expiration</t>
  </si>
  <si>
    <t>Montant Payé (FCFA)</t>
  </si>
  <si>
    <t>Reste à Payer</t>
  </si>
  <si>
    <t>Statut Paiement</t>
  </si>
  <si>
    <t>Marque</t>
  </si>
  <si>
    <t>Modèle</t>
  </si>
  <si>
    <t>Année</t>
  </si>
  <si>
    <t>Chauffeur Affecté</t>
  </si>
  <si>
    <t>Date Mise en Service</t>
  </si>
  <si>
    <t>Kilométrage</t>
  </si>
  <si>
    <t>État du Véhicule</t>
  </si>
  <si>
    <t>KARRY</t>
  </si>
  <si>
    <t>TAXIS</t>
  </si>
  <si>
    <t>Camion ivograin</t>
  </si>
  <si>
    <t>Coris assurance</t>
  </si>
  <si>
    <t>Prime Mensuelle (FCFA)</t>
  </si>
  <si>
    <t>Payé</t>
  </si>
  <si>
    <t xml:space="preserve">Camion KAARY </t>
  </si>
  <si>
    <t>Cyclomoteur KAPANOU</t>
  </si>
  <si>
    <t>Tracteur Routier IVECO</t>
  </si>
  <si>
    <t>Semi-Remorque VIBRETI</t>
  </si>
  <si>
    <t>Camion SONOTRUCK HOMAN</t>
  </si>
  <si>
    <t>Camion SINOTRUCK HOMAN</t>
  </si>
  <si>
    <t xml:space="preserve">Pose de Plaque </t>
  </si>
  <si>
    <t>Yango 25 000</t>
  </si>
  <si>
    <t>Recette du 25/05/2026 au 30/05/2026</t>
  </si>
  <si>
    <t>Recette du 25/05/2026 au 08/05/2026</t>
  </si>
  <si>
    <t>Recette du 07/05/2026 au 30/05/2026</t>
  </si>
  <si>
    <t>SUIVI DES SALAIRES — CHAUFFEURS — ANNÉE 2026</t>
  </si>
  <si>
    <t>Entreprise de Transport  •  Salaires de base mensuels (XOF)</t>
  </si>
  <si>
    <t>Matricule</t>
  </si>
  <si>
    <t>Nom &amp; Prénom</t>
  </si>
  <si>
    <t>Poste / Véhicule</t>
  </si>
  <si>
    <t>Juillet</t>
  </si>
  <si>
    <t>Août</t>
  </si>
  <si>
    <t>Septembre</t>
  </si>
  <si>
    <t>Décembre</t>
  </si>
  <si>
    <t>TOTAL ANNUEL</t>
  </si>
  <si>
    <t>CHF-001</t>
  </si>
  <si>
    <t>Chauffeur poids lourd</t>
  </si>
  <si>
    <t>CHF-002</t>
  </si>
  <si>
    <t>TOTAL GÉNÉRAL MENSUEL</t>
  </si>
  <si>
    <t>SALAIRE MOYEN MENSUEL</t>
  </si>
  <si>
    <t>ℹ  Cellules surlignées en jaune = lignes vides pour nouveaux employés  •  Montants en Francs CFA (XOF)  •  Texte bleu = valeurs saisies manuellement</t>
  </si>
  <si>
    <t>KONE sekou</t>
  </si>
  <si>
    <t>Soundjata Ivograin</t>
  </si>
  <si>
    <t>Chauffeur Interurbain YANGO</t>
  </si>
  <si>
    <t>SS</t>
  </si>
  <si>
    <t>01/05/2026 au 30/05/2026</t>
  </si>
  <si>
    <t>08/06/2026 au 29/06/2026</t>
  </si>
  <si>
    <t>Recette du 08/06/2026 au 29/06/2026</t>
  </si>
  <si>
    <t>JUIN</t>
  </si>
  <si>
    <t>Caburant  15000</t>
  </si>
  <si>
    <t>Aicha doit 50 000 fcfa | reste à payer 10000f</t>
  </si>
  <si>
    <t>reste à payer 15000f</t>
  </si>
  <si>
    <t>120 000 CFA</t>
  </si>
  <si>
    <t>Total des recettes du mois de Juillet</t>
  </si>
  <si>
    <t>Aicha doit toujours 50 0000</t>
  </si>
  <si>
    <t>Caburant 15000 ; Rechargement Yango 20 000 Unité 5000</t>
  </si>
  <si>
    <t>5000 frais de réparation du retroviseur</t>
  </si>
  <si>
    <t>Cobcerbat cette semaine nous avons utliser 25 k pour recharger YANGO 15 K caburant et mis 10 K dans la caisse</t>
  </si>
  <si>
    <t>JUILLET</t>
  </si>
  <si>
    <t>Recette du 01/06/2026 au 11/07/2026</t>
  </si>
  <si>
    <t>110000 FCFA : 60 000 FCFA ont été consacrés à l'entretien. Sur le solde de 50 000 FCFA, 25 000 FCFA ont servi au rechargement et 15 000 FCFA au carburant, laissant un reliquat de 20 000 FCFA. Total des dépenses de la semaine : 90 000 FCFA.</t>
  </si>
  <si>
    <t>Diamanche</t>
  </si>
  <si>
    <t xml:space="preserve">Lundi </t>
  </si>
  <si>
    <t>Garage pour l'accident</t>
  </si>
  <si>
    <t>Mardi</t>
  </si>
  <si>
    <t>Mercredi</t>
  </si>
  <si>
    <t>Jeudi</t>
  </si>
  <si>
    <t>Vendredi</t>
  </si>
  <si>
    <t xml:space="preserve">15000 Aicha doit </t>
  </si>
  <si>
    <t>65 000 fcfa dans le coffre</t>
  </si>
  <si>
    <t>Virement</t>
  </si>
  <si>
    <t>Total déjà versé</t>
  </si>
  <si>
    <t>08/07/2026 au 29/07/2027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</si>
</sst>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CFA&quot;"/>
    <numFmt numFmtId="165" formatCode="#,##0\ _C_F_A"/>
    <numFmt numFmtId="166" formatCode="#,##0&quot; XOF&quot;;\(#,##0&quot; XOF)&quot;;\-"/>
  </numFmts>
  <fonts count="31"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28"/>
      <color rgb="FFFF0000"/>
      <name val="Calibri"/>
      <family val="2"/>
      <scheme val="minor"/>
    </font>
    <font>
      <b/>
      <sz val="18"/>
      <color theme="1"/>
      <name val="Calibri"/>
      <family val="2"/>
      <scheme val="minor"/>
    </font>
    <font>
      <b/>
      <sz val="12"/>
      <color theme="1"/>
      <name val="Calibri"/>
      <family val="2"/>
      <scheme val="minor"/>
    </font>
    <font>
      <b/>
      <sz val="11"/>
      <color rgb="FFFF0000"/>
      <name val="Calibri"/>
      <family val="2"/>
      <scheme val="minor"/>
    </font>
    <font>
      <sz val="11"/>
      <name val="Calibri"/>
      <family val="2"/>
      <scheme val="minor"/>
    </font>
    <font>
      <b/>
      <sz val="28"/>
      <color rgb="FFFF0000"/>
      <name val="Calibri"/>
      <family val="2"/>
      <scheme val="minor"/>
    </font>
    <font>
      <b/>
      <sz val="11"/>
      <name val="Calibri"/>
    </font>
    <font>
      <b/>
      <sz val="11"/>
      <name val="Calibri"/>
      <family val="2"/>
    </font>
    <font>
      <b/>
      <sz val="14"/>
      <color theme="1"/>
      <name val="Calibri"/>
      <family val="2"/>
      <scheme val="minor"/>
    </font>
    <font>
      <b/>
      <sz val="12"/>
      <color rgb="FFFF0000"/>
      <name val="Calibri"/>
      <family val="2"/>
      <scheme val="minor"/>
    </font>
    <font>
      <sz val="11"/>
      <color theme="1"/>
      <name val="Calibri"/>
      <family val="2"/>
      <charset val="1"/>
    </font>
    <font>
      <b/>
      <sz val="14"/>
      <color rgb="FFFFFFFF"/>
      <name val="Arial"/>
      <charset val="1"/>
    </font>
    <font>
      <i/>
      <sz val="10"/>
      <color rgb="FFFFFFFF"/>
      <name val="Arial"/>
      <charset val="1"/>
    </font>
    <font>
      <b/>
      <sz val="10"/>
      <color rgb="FFFFFFFF"/>
      <name val="Arial"/>
      <charset val="1"/>
    </font>
    <font>
      <b/>
      <sz val="10"/>
      <color rgb="FF1A3A5C"/>
      <name val="Arial"/>
      <charset val="1"/>
    </font>
    <font>
      <sz val="10"/>
      <color rgb="FF000000"/>
      <name val="Arial"/>
      <charset val="1"/>
    </font>
    <font>
      <i/>
      <sz val="10"/>
      <color rgb="FF444444"/>
      <name val="Arial"/>
      <charset val="1"/>
    </font>
    <font>
      <sz val="10"/>
      <color rgb="FF0000CC"/>
      <name val="Arial"/>
      <charset val="1"/>
    </font>
    <font>
      <b/>
      <sz val="10"/>
      <color rgb="FFC65911"/>
      <name val="Arial"/>
      <charset val="1"/>
    </font>
    <font>
      <sz val="10"/>
      <color rgb="FF1A3A5C"/>
      <name val="Arial"/>
      <charset val="1"/>
    </font>
    <font>
      <sz val="10"/>
      <color rgb="FF999999"/>
      <name val="Arial"/>
      <charset val="1"/>
    </font>
    <font>
      <b/>
      <sz val="11"/>
      <color rgb="FFFFFFFF"/>
      <name val="Arial"/>
      <charset val="1"/>
    </font>
    <font>
      <b/>
      <sz val="12"/>
      <color rgb="FFFFFFFF"/>
      <name val="Arial"/>
      <charset val="1"/>
    </font>
    <font>
      <b/>
      <sz val="10"/>
      <color rgb="FF375623"/>
      <name val="Arial"/>
      <charset val="1"/>
    </font>
    <font>
      <i/>
      <sz val="9"/>
      <color rgb="FF555555"/>
      <name val="Arial"/>
      <charset val="1"/>
    </font>
  </fonts>
  <fills count="31">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0"/>
        <bgColor theme="9" tint="0.59999389629810485"/>
      </patternFill>
    </fill>
    <fill>
      <patternFill patternType="solid">
        <fgColor theme="9" tint="-0.249977111117893"/>
        <bgColor indexed="64"/>
      </patternFill>
    </fill>
    <fill>
      <patternFill patternType="solid">
        <fgColor rgb="FFFF0000"/>
        <bgColor theme="9" tint="0.59999389629810485"/>
      </patternFill>
    </fill>
    <fill>
      <patternFill patternType="solid">
        <fgColor rgb="FFFFFF00"/>
        <bgColor indexed="64"/>
      </patternFill>
    </fill>
    <fill>
      <patternFill patternType="solid">
        <fgColor theme="0" tint="-0.249977111117893"/>
        <bgColor indexed="64"/>
      </patternFill>
    </fill>
    <fill>
      <patternFill patternType="solid">
        <fgColor rgb="FF00B050"/>
        <bgColor theme="9" tint="0.59999389629810485"/>
      </patternFill>
    </fill>
    <fill>
      <patternFill patternType="solid">
        <fgColor theme="9" tint="0.59999389629810485"/>
        <bgColor indexed="64"/>
      </patternFill>
    </fill>
    <fill>
      <patternFill patternType="solid">
        <fgColor rgb="FF00B050"/>
        <bgColor indexed="64"/>
      </patternFill>
    </fill>
    <fill>
      <patternFill patternType="solid">
        <fgColor rgb="FF00B050"/>
        <bgColor theme="9" tint="0.79998168889431442"/>
      </patternFill>
    </fill>
    <fill>
      <patternFill patternType="solid">
        <fgColor theme="0" tint="-0.14999847407452621"/>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1A3A5C"/>
        <bgColor rgb="FF333399"/>
      </patternFill>
    </fill>
    <fill>
      <patternFill patternType="solid">
        <fgColor rgb="FF2E6DA4"/>
        <bgColor rgb="FF3366FF"/>
      </patternFill>
    </fill>
    <fill>
      <patternFill patternType="solid">
        <fgColor rgb="FFBDD7EE"/>
        <bgColor rgb="FF99CCFF"/>
      </patternFill>
    </fill>
    <fill>
      <patternFill patternType="solid">
        <fgColor rgb="FFC65911"/>
        <bgColor rgb="FF993300"/>
      </patternFill>
    </fill>
    <fill>
      <patternFill patternType="solid">
        <fgColor rgb="FFFFFFFF"/>
        <bgColor rgb="FFF2F2F2"/>
      </patternFill>
    </fill>
    <fill>
      <patternFill patternType="solid">
        <fgColor rgb="FFDEEAF1"/>
        <bgColor rgb="FFE2EFDA"/>
      </patternFill>
    </fill>
    <fill>
      <patternFill patternType="solid">
        <fgColor rgb="FFFCE4D6"/>
        <bgColor rgb="FFF2F2F2"/>
      </patternFill>
    </fill>
    <fill>
      <patternFill patternType="solid">
        <fgColor rgb="FFF2F2F2"/>
        <bgColor rgb="FFE2EFDA"/>
      </patternFill>
    </fill>
    <fill>
      <patternFill patternType="solid">
        <fgColor rgb="FFFFFF00"/>
        <bgColor rgb="FFFFFF00"/>
      </patternFill>
    </fill>
    <fill>
      <patternFill patternType="solid">
        <fgColor rgb="FF375623"/>
        <bgColor rgb="FF444444"/>
      </patternFill>
    </fill>
    <fill>
      <patternFill patternType="solid">
        <fgColor rgb="FFE2EFDA"/>
        <bgColor rgb="FFDEEAF1"/>
      </patternFill>
    </fill>
    <fill>
      <patternFill patternType="solid">
        <fgColor theme="9" tint="0.59999389629810485"/>
        <bgColor theme="9"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6" fillId="0" borderId="0"/>
  </cellStyleXfs>
  <cellXfs count="17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2" borderId="0" xfId="0" applyFill="1" applyAlignment="1">
      <alignment horizontal="center" vertical="center"/>
    </xf>
    <xf numFmtId="0" fontId="0" fillId="5" borderId="4" xfId="0" applyFill="1" applyBorder="1" applyAlignment="1">
      <alignment horizontal="center" vertical="center"/>
    </xf>
    <xf numFmtId="14" fontId="0" fillId="5" borderId="3" xfId="0" applyNumberFormat="1" applyFill="1" applyBorder="1" applyAlignment="1">
      <alignment horizontal="center" vertical="center"/>
    </xf>
    <xf numFmtId="0" fontId="0" fillId="5" borderId="4" xfId="0" applyFill="1" applyBorder="1" applyAlignment="1">
      <alignment horizontal="left" vertical="center"/>
    </xf>
    <xf numFmtId="0" fontId="0" fillId="5" borderId="5" xfId="0" applyFill="1" applyBorder="1" applyAlignment="1">
      <alignment horizontal="center" vertical="center"/>
    </xf>
    <xf numFmtId="0" fontId="0" fillId="4" borderId="4" xfId="0"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center" vertical="center"/>
    </xf>
    <xf numFmtId="0" fontId="0" fillId="3" borderId="0" xfId="0" applyFill="1" applyAlignment="1">
      <alignment horizontal="center" vertical="center"/>
    </xf>
    <xf numFmtId="0" fontId="0" fillId="6" borderId="4" xfId="0" applyFill="1" applyBorder="1" applyAlignment="1">
      <alignment horizontal="center" vertical="center"/>
    </xf>
    <xf numFmtId="0" fontId="4" fillId="0" borderId="0" xfId="0" applyFont="1"/>
    <xf numFmtId="0" fontId="2" fillId="2" borderId="0" xfId="0" applyFont="1" applyFill="1"/>
    <xf numFmtId="0" fontId="3" fillId="5" borderId="4" xfId="0" applyFont="1" applyFill="1" applyBorder="1" applyAlignment="1">
      <alignment horizontal="center" vertical="center"/>
    </xf>
    <xf numFmtId="0" fontId="0" fillId="7" borderId="0" xfId="0" applyFill="1" applyAlignment="1">
      <alignment horizontal="center" vertical="center"/>
    </xf>
    <xf numFmtId="0" fontId="3" fillId="0" borderId="0" xfId="0" applyFont="1" applyAlignment="1">
      <alignment horizontal="center" vertical="center"/>
    </xf>
    <xf numFmtId="0" fontId="0" fillId="8" borderId="4" xfId="0" applyFill="1" applyBorder="1" applyAlignment="1">
      <alignment horizontal="center" vertical="center"/>
    </xf>
    <xf numFmtId="0" fontId="0" fillId="9" borderId="0" xfId="0" applyFill="1" applyAlignment="1">
      <alignment horizontal="left" vertical="center"/>
    </xf>
    <xf numFmtId="0" fontId="0" fillId="9" borderId="0" xfId="0" applyFill="1" applyAlignment="1">
      <alignment horizontal="left"/>
    </xf>
    <xf numFmtId="0" fontId="5" fillId="9" borderId="0" xfId="0" applyFont="1" applyFill="1"/>
    <xf numFmtId="0" fontId="3" fillId="8" borderId="5" xfId="0" applyFont="1" applyFill="1" applyBorder="1" applyAlignment="1">
      <alignment horizontal="center" vertical="center"/>
    </xf>
    <xf numFmtId="0" fontId="3" fillId="8" borderId="4" xfId="0" applyFont="1" applyFill="1" applyBorder="1" applyAlignment="1">
      <alignment horizontal="center" vertical="center"/>
    </xf>
    <xf numFmtId="0" fontId="8" fillId="11" borderId="5" xfId="0" applyFont="1" applyFill="1" applyBorder="1" applyAlignment="1">
      <alignment horizontal="center" vertical="center"/>
    </xf>
    <xf numFmtId="3" fontId="5" fillId="0" borderId="0" xfId="0" applyNumberFormat="1" applyFont="1" applyAlignment="1">
      <alignment horizontal="left"/>
    </xf>
    <xf numFmtId="0" fontId="0" fillId="4" borderId="2" xfId="0" applyFill="1" applyBorder="1" applyAlignment="1">
      <alignment horizontal="center" vertical="center"/>
    </xf>
    <xf numFmtId="0" fontId="0" fillId="12" borderId="0" xfId="0" applyFill="1" applyAlignment="1">
      <alignment horizontal="center" vertical="center"/>
    </xf>
    <xf numFmtId="0" fontId="3" fillId="2" borderId="0" xfId="0" applyFont="1" applyFill="1" applyAlignment="1">
      <alignment horizontal="left" vertical="center"/>
    </xf>
    <xf numFmtId="0" fontId="3" fillId="13" borderId="0" xfId="0" applyFont="1" applyFill="1" applyAlignment="1">
      <alignment horizontal="center" vertical="center"/>
    </xf>
    <xf numFmtId="14" fontId="3" fillId="0" borderId="0" xfId="0" applyNumberFormat="1" applyFont="1" applyAlignment="1">
      <alignment horizontal="center" vertical="center"/>
    </xf>
    <xf numFmtId="0" fontId="3" fillId="0" borderId="0" xfId="0" applyFont="1"/>
    <xf numFmtId="0" fontId="3" fillId="4" borderId="4" xfId="0" applyFont="1" applyFill="1" applyBorder="1" applyAlignment="1">
      <alignment horizontal="center" vertical="center"/>
    </xf>
    <xf numFmtId="0" fontId="0" fillId="0" borderId="2" xfId="0" applyBorder="1" applyAlignment="1">
      <alignment horizontal="center" vertical="center"/>
    </xf>
    <xf numFmtId="0" fontId="0" fillId="15" borderId="0" xfId="0" applyFill="1" applyAlignment="1">
      <alignment wrapText="1"/>
    </xf>
    <xf numFmtId="165" fontId="0" fillId="0" borderId="0" xfId="0" applyNumberFormat="1" applyAlignment="1">
      <alignment vertical="center"/>
    </xf>
    <xf numFmtId="165" fontId="3" fillId="2" borderId="0" xfId="0" applyNumberFormat="1" applyFont="1" applyFill="1" applyAlignment="1">
      <alignment vertical="center"/>
    </xf>
    <xf numFmtId="165" fontId="3" fillId="9" borderId="0" xfId="0" applyNumberFormat="1" applyFont="1" applyFill="1" applyAlignment="1">
      <alignment vertical="center"/>
    </xf>
    <xf numFmtId="165" fontId="3" fillId="0" borderId="0" xfId="0" applyNumberFormat="1" applyFont="1" applyAlignment="1">
      <alignment vertical="center"/>
    </xf>
    <xf numFmtId="165" fontId="0" fillId="2" borderId="0" xfId="0" applyNumberFormat="1" applyFill="1" applyAlignment="1">
      <alignment vertical="center"/>
    </xf>
    <xf numFmtId="165" fontId="0" fillId="3" borderId="0" xfId="0" applyNumberFormat="1" applyFill="1" applyAlignment="1">
      <alignment vertical="center"/>
    </xf>
    <xf numFmtId="165" fontId="3" fillId="4" borderId="4" xfId="0" applyNumberFormat="1" applyFont="1" applyFill="1" applyBorder="1" applyAlignment="1">
      <alignment vertical="center"/>
    </xf>
    <xf numFmtId="165" fontId="3" fillId="5" borderId="4" xfId="0" applyNumberFormat="1" applyFont="1" applyFill="1" applyBorder="1" applyAlignment="1">
      <alignment vertical="center"/>
    </xf>
    <xf numFmtId="165" fontId="2" fillId="2" borderId="0" xfId="0" applyNumberFormat="1" applyFont="1" applyFill="1" applyAlignment="1">
      <alignment vertical="center"/>
    </xf>
    <xf numFmtId="0" fontId="3" fillId="14" borderId="5" xfId="0" applyFont="1" applyFill="1" applyBorder="1" applyAlignment="1">
      <alignment vertical="center" wrapText="1"/>
    </xf>
    <xf numFmtId="0" fontId="3" fillId="13" borderId="0" xfId="0" applyFont="1" applyFill="1" applyAlignment="1">
      <alignment wrapText="1"/>
    </xf>
    <xf numFmtId="0" fontId="3" fillId="0" borderId="0" xfId="0" applyFont="1" applyAlignment="1">
      <alignment horizontal="left" vertical="center"/>
    </xf>
    <xf numFmtId="164" fontId="3" fillId="0" borderId="0" xfId="0" applyNumberFormat="1" applyFont="1" applyAlignment="1">
      <alignment horizontal="center" vertical="center"/>
    </xf>
    <xf numFmtId="164" fontId="0" fillId="0" borderId="0" xfId="0" applyNumberFormat="1"/>
    <xf numFmtId="17" fontId="3" fillId="0" borderId="0" xfId="0" applyNumberFormat="1" applyFont="1" applyAlignment="1">
      <alignment horizontal="center" vertical="center"/>
    </xf>
    <xf numFmtId="164" fontId="3" fillId="16" borderId="0" xfId="0" applyNumberFormat="1" applyFont="1" applyFill="1" applyAlignment="1">
      <alignment horizontal="center" vertical="center"/>
    </xf>
    <xf numFmtId="0" fontId="3" fillId="2" borderId="0" xfId="0" applyFont="1" applyFill="1" applyAlignment="1">
      <alignment horizontal="center" vertical="center"/>
    </xf>
    <xf numFmtId="0" fontId="2" fillId="7" borderId="1" xfId="0" applyFont="1" applyFill="1" applyBorder="1" applyAlignment="1">
      <alignment horizontal="center" vertical="center"/>
    </xf>
    <xf numFmtId="164" fontId="0" fillId="0" borderId="0" xfId="0" applyNumberFormat="1" applyAlignment="1">
      <alignment horizontal="center" vertical="center"/>
    </xf>
    <xf numFmtId="164" fontId="0" fillId="0" borderId="1" xfId="0" applyNumberFormat="1" applyBorder="1"/>
    <xf numFmtId="0" fontId="3" fillId="13" borderId="0" xfId="0" applyFont="1" applyFill="1" applyAlignment="1">
      <alignment horizontal="center" vertical="center" wrapText="1"/>
    </xf>
    <xf numFmtId="164" fontId="3" fillId="0" borderId="0" xfId="0" applyNumberFormat="1" applyFont="1" applyAlignment="1">
      <alignment horizontal="center" vertical="center" wrapText="1"/>
    </xf>
    <xf numFmtId="164" fontId="3" fillId="2" borderId="0" xfId="0" applyNumberFormat="1" applyFont="1" applyFill="1" applyAlignment="1">
      <alignment horizontal="left" vertical="center"/>
    </xf>
    <xf numFmtId="164" fontId="3" fillId="9" borderId="0" xfId="0" applyNumberFormat="1" applyFont="1" applyFill="1" applyAlignment="1">
      <alignment horizontal="center" vertical="center"/>
    </xf>
    <xf numFmtId="164" fontId="0" fillId="2" borderId="0" xfId="0" applyNumberFormat="1" applyFill="1" applyAlignment="1">
      <alignment horizontal="center" vertical="center"/>
    </xf>
    <xf numFmtId="164" fontId="3" fillId="9" borderId="0" xfId="0" applyNumberFormat="1" applyFont="1" applyFill="1" applyAlignment="1">
      <alignment horizontal="center"/>
    </xf>
    <xf numFmtId="164" fontId="3" fillId="4" borderId="4" xfId="0" applyNumberFormat="1" applyFont="1" applyFill="1" applyBorder="1" applyAlignment="1">
      <alignment horizontal="center" vertical="center"/>
    </xf>
    <xf numFmtId="164" fontId="3" fillId="5" borderId="4" xfId="0" applyNumberFormat="1" applyFont="1" applyFill="1" applyBorder="1" applyAlignment="1">
      <alignment horizontal="center" vertical="center"/>
    </xf>
    <xf numFmtId="164" fontId="0" fillId="0" borderId="0" xfId="0" applyNumberFormat="1" applyAlignment="1">
      <alignment horizontal="left" vertical="center"/>
    </xf>
    <xf numFmtId="164" fontId="0" fillId="0" borderId="0" xfId="0" applyNumberFormat="1" applyAlignment="1">
      <alignment horizontal="left"/>
    </xf>
    <xf numFmtId="164" fontId="3" fillId="0" borderId="0" xfId="0" applyNumberFormat="1" applyFont="1" applyAlignment="1">
      <alignment horizontal="left" vertical="center"/>
    </xf>
    <xf numFmtId="164" fontId="0" fillId="2" borderId="0" xfId="0" applyNumberFormat="1" applyFill="1" applyAlignment="1">
      <alignment horizontal="left" vertical="center"/>
    </xf>
    <xf numFmtId="164" fontId="0" fillId="7" borderId="0" xfId="0" applyNumberFormat="1" applyFill="1" applyAlignment="1">
      <alignment horizontal="left" vertical="center"/>
    </xf>
    <xf numFmtId="164" fontId="3" fillId="5" borderId="4" xfId="0" applyNumberFormat="1" applyFont="1" applyFill="1" applyBorder="1" applyAlignment="1">
      <alignment horizontal="left" vertical="center"/>
    </xf>
    <xf numFmtId="164" fontId="0" fillId="5" borderId="4" xfId="0" applyNumberFormat="1" applyFill="1" applyBorder="1" applyAlignment="1">
      <alignment horizontal="left" vertical="center"/>
    </xf>
    <xf numFmtId="164" fontId="0" fillId="4" borderId="4" xfId="0" applyNumberFormat="1" applyFill="1" applyBorder="1" applyAlignment="1">
      <alignment horizontal="left" vertical="center"/>
    </xf>
    <xf numFmtId="164" fontId="0" fillId="8" borderId="4" xfId="0" applyNumberFormat="1" applyFill="1" applyBorder="1" applyAlignment="1">
      <alignment horizontal="left" vertical="center"/>
    </xf>
    <xf numFmtId="164" fontId="0" fillId="0" borderId="0" xfId="0" applyNumberFormat="1" applyAlignment="1">
      <alignment horizontal="center"/>
    </xf>
    <xf numFmtId="164" fontId="3" fillId="2" borderId="0" xfId="0" applyNumberFormat="1" applyFont="1" applyFill="1" applyAlignment="1">
      <alignment horizontal="center" vertical="center"/>
    </xf>
    <xf numFmtId="164" fontId="2" fillId="2" borderId="0" xfId="0" applyNumberFormat="1" applyFont="1" applyFill="1" applyAlignment="1">
      <alignment horizontal="center"/>
    </xf>
    <xf numFmtId="164" fontId="0" fillId="9" borderId="0" xfId="0" applyNumberFormat="1" applyFill="1" applyAlignment="1">
      <alignment horizontal="center" vertical="center"/>
    </xf>
    <xf numFmtId="164" fontId="0" fillId="9" borderId="0" xfId="0" applyNumberFormat="1" applyFill="1" applyAlignment="1">
      <alignment horizontal="center"/>
    </xf>
    <xf numFmtId="164" fontId="0" fillId="0" borderId="0" xfId="0" applyNumberFormat="1" applyAlignment="1">
      <alignment horizontal="left" vertical="center" wrapText="1"/>
    </xf>
    <xf numFmtId="164" fontId="3" fillId="0" borderId="0" xfId="0" applyNumberFormat="1" applyFont="1" applyAlignment="1">
      <alignment horizontal="left"/>
    </xf>
    <xf numFmtId="164" fontId="3" fillId="12" borderId="0" xfId="0" applyNumberFormat="1" applyFont="1" applyFill="1" applyAlignment="1">
      <alignment horizontal="center" vertical="center"/>
    </xf>
    <xf numFmtId="164" fontId="3" fillId="0" borderId="0" xfId="0" applyNumberFormat="1" applyFont="1" applyAlignment="1">
      <alignment horizontal="center"/>
    </xf>
    <xf numFmtId="164" fontId="3" fillId="3" borderId="0" xfId="0" applyNumberFormat="1" applyFont="1" applyFill="1" applyAlignment="1">
      <alignment horizontal="center" vertical="center"/>
    </xf>
    <xf numFmtId="164" fontId="3" fillId="6" borderId="4" xfId="0" applyNumberFormat="1" applyFont="1" applyFill="1" applyBorder="1" applyAlignment="1">
      <alignment horizontal="center" vertical="center"/>
    </xf>
    <xf numFmtId="165" fontId="3" fillId="17" borderId="0" xfId="0" applyNumberFormat="1" applyFont="1" applyFill="1" applyAlignment="1">
      <alignment horizontal="center" vertical="center"/>
    </xf>
    <xf numFmtId="165" fontId="3" fillId="0" borderId="0" xfId="0" applyNumberFormat="1" applyFont="1" applyAlignment="1">
      <alignment horizontal="left"/>
    </xf>
    <xf numFmtId="165" fontId="3" fillId="0" borderId="0" xfId="0" applyNumberFormat="1" applyFont="1" applyAlignment="1">
      <alignment horizontal="left" vertical="center"/>
    </xf>
    <xf numFmtId="165" fontId="3" fillId="12" borderId="0" xfId="0" applyNumberFormat="1" applyFont="1" applyFill="1" applyAlignment="1">
      <alignment horizontal="center" vertical="center"/>
    </xf>
    <xf numFmtId="165" fontId="3" fillId="2" borderId="0" xfId="0" applyNumberFormat="1" applyFont="1" applyFill="1" applyAlignment="1">
      <alignment horizontal="left" vertical="center"/>
    </xf>
    <xf numFmtId="165" fontId="0" fillId="0" borderId="0" xfId="0" applyNumberForma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wrapText="1"/>
    </xf>
    <xf numFmtId="14" fontId="0" fillId="17" borderId="0" xfId="0" applyNumberFormat="1" applyFill="1" applyAlignment="1">
      <alignment horizontal="center" vertical="center"/>
    </xf>
    <xf numFmtId="0" fontId="0" fillId="17" borderId="0" xfId="0" applyFill="1" applyAlignment="1">
      <alignment horizontal="center" vertical="center"/>
    </xf>
    <xf numFmtId="0" fontId="0" fillId="17" borderId="0" xfId="0" applyFill="1" applyAlignment="1">
      <alignment horizontal="left" vertical="center"/>
    </xf>
    <xf numFmtId="164" fontId="3" fillId="17" borderId="0" xfId="0" applyNumberFormat="1" applyFont="1" applyFill="1" applyAlignment="1">
      <alignment horizontal="center" vertical="center"/>
    </xf>
    <xf numFmtId="164" fontId="0" fillId="17" borderId="0" xfId="0" applyNumberFormat="1" applyFill="1" applyAlignment="1">
      <alignment horizontal="left" vertical="center"/>
    </xf>
    <xf numFmtId="0" fontId="3" fillId="18" borderId="0" xfId="0" applyFont="1" applyFill="1" applyAlignment="1">
      <alignment horizontal="center" vertical="center" wrapText="1"/>
    </xf>
    <xf numFmtId="3" fontId="3" fillId="17" borderId="0" xfId="0" applyNumberFormat="1" applyFont="1" applyFill="1" applyAlignment="1">
      <alignment horizontal="center" vertical="center"/>
    </xf>
    <xf numFmtId="0" fontId="0" fillId="4" borderId="5" xfId="0" applyFill="1" applyBorder="1" applyAlignment="1">
      <alignment horizontal="left" vertical="center"/>
    </xf>
    <xf numFmtId="3" fontId="9" fillId="0" borderId="0" xfId="0" applyNumberFormat="1" applyFont="1" applyAlignment="1">
      <alignment horizontal="left"/>
    </xf>
    <xf numFmtId="164" fontId="5" fillId="2" borderId="0" xfId="0" applyNumberFormat="1" applyFont="1" applyFill="1" applyAlignment="1">
      <alignment horizontal="center" vertical="center"/>
    </xf>
    <xf numFmtId="164" fontId="0" fillId="17" borderId="0" xfId="0" applyNumberFormat="1" applyFill="1" applyAlignment="1">
      <alignment horizontal="left" vertical="center" wrapText="1"/>
    </xf>
    <xf numFmtId="0" fontId="3" fillId="17" borderId="0" xfId="0" applyFont="1" applyFill="1" applyAlignment="1">
      <alignment horizontal="center" vertical="center"/>
    </xf>
    <xf numFmtId="0" fontId="10" fillId="0" borderId="0" xfId="0" applyFont="1" applyAlignment="1">
      <alignment horizontal="center" vertical="center" wrapText="1"/>
    </xf>
    <xf numFmtId="165" fontId="0" fillId="0" borderId="0" xfId="0" applyNumberFormat="1" applyAlignment="1">
      <alignment horizontal="center" vertical="center" wrapText="1"/>
    </xf>
    <xf numFmtId="0" fontId="3" fillId="13" borderId="0" xfId="0" applyFont="1" applyFill="1" applyAlignment="1">
      <alignment horizontal="center" wrapText="1"/>
    </xf>
    <xf numFmtId="165" fontId="3" fillId="12" borderId="0" xfId="0" applyNumberFormat="1" applyFont="1" applyFill="1" applyAlignment="1">
      <alignment horizontal="center" vertical="center" wrapText="1"/>
    </xf>
    <xf numFmtId="164" fontId="3" fillId="0" borderId="0" xfId="0" applyNumberFormat="1" applyFont="1"/>
    <xf numFmtId="0" fontId="12" fillId="0" borderId="0" xfId="0" applyFont="1"/>
    <xf numFmtId="0" fontId="3" fillId="0" borderId="0" xfId="0" applyFont="1" applyAlignment="1">
      <alignment horizontal="center"/>
    </xf>
    <xf numFmtId="164" fontId="13" fillId="0" borderId="0" xfId="0" applyNumberFormat="1" applyFont="1"/>
    <xf numFmtId="0" fontId="0" fillId="5" borderId="0" xfId="0" applyFill="1" applyAlignment="1">
      <alignment horizontal="center" vertical="center"/>
    </xf>
    <xf numFmtId="0" fontId="0" fillId="4" borderId="0" xfId="0" applyFill="1" applyAlignment="1">
      <alignment horizontal="center" vertical="center"/>
    </xf>
    <xf numFmtId="164" fontId="3" fillId="5" borderId="0" xfId="0" applyNumberFormat="1" applyFont="1" applyFill="1" applyAlignment="1">
      <alignment horizontal="center" vertical="center"/>
    </xf>
    <xf numFmtId="14" fontId="3" fillId="0" borderId="0" xfId="0" applyNumberFormat="1" applyFont="1" applyAlignment="1">
      <alignment horizontal="center"/>
    </xf>
    <xf numFmtId="164" fontId="2" fillId="9" borderId="0" xfId="0" applyNumberFormat="1" applyFont="1" applyFill="1" applyAlignment="1">
      <alignment horizontal="center"/>
    </xf>
    <xf numFmtId="14" fontId="0" fillId="0" borderId="0" xfId="0" applyNumberFormat="1"/>
    <xf numFmtId="3" fontId="0" fillId="0" borderId="0" xfId="0" applyNumberFormat="1"/>
    <xf numFmtId="0" fontId="16" fillId="0" borderId="0" xfId="1"/>
    <xf numFmtId="0" fontId="19" fillId="19" borderId="14" xfId="1" applyFont="1" applyFill="1" applyBorder="1" applyAlignment="1">
      <alignment horizontal="center" vertical="center"/>
    </xf>
    <xf numFmtId="0" fontId="20" fillId="21" borderId="14" xfId="1" applyFont="1" applyFill="1" applyBorder="1" applyAlignment="1">
      <alignment horizontal="center" vertical="center"/>
    </xf>
    <xf numFmtId="0" fontId="19" fillId="22" borderId="14" xfId="1" applyFont="1" applyFill="1" applyBorder="1" applyAlignment="1">
      <alignment horizontal="center" vertical="center"/>
    </xf>
    <xf numFmtId="0" fontId="21" fillId="23" borderId="14" xfId="1" applyFont="1" applyFill="1" applyBorder="1" applyAlignment="1">
      <alignment horizontal="center" vertical="center"/>
    </xf>
    <xf numFmtId="0" fontId="20" fillId="24" borderId="14" xfId="1" applyFont="1" applyFill="1" applyBorder="1" applyAlignment="1">
      <alignment horizontal="center" vertical="center"/>
    </xf>
    <xf numFmtId="0" fontId="21" fillId="23" borderId="14" xfId="1" applyFont="1" applyFill="1" applyBorder="1" applyAlignment="1">
      <alignment horizontal="left" vertical="center"/>
    </xf>
    <xf numFmtId="0" fontId="22" fillId="23" borderId="14" xfId="1" applyFont="1" applyFill="1" applyBorder="1" applyAlignment="1">
      <alignment horizontal="left" vertical="center"/>
    </xf>
    <xf numFmtId="166" fontId="23" fillId="23" borderId="14" xfId="1" applyNumberFormat="1" applyFont="1" applyFill="1" applyBorder="1" applyAlignment="1">
      <alignment horizontal="center" vertical="center"/>
    </xf>
    <xf numFmtId="166" fontId="24" fillId="25" borderId="14" xfId="1" applyNumberFormat="1" applyFont="1" applyFill="1" applyBorder="1" applyAlignment="1">
      <alignment horizontal="center" vertical="center"/>
    </xf>
    <xf numFmtId="0" fontId="21" fillId="26" borderId="14" xfId="1" applyFont="1" applyFill="1" applyBorder="1" applyAlignment="1">
      <alignment horizontal="center" vertical="center"/>
    </xf>
    <xf numFmtId="0" fontId="21" fillId="26" borderId="14" xfId="1" applyFont="1" applyFill="1" applyBorder="1" applyAlignment="1">
      <alignment horizontal="left" vertical="center"/>
    </xf>
    <xf numFmtId="0" fontId="22" fillId="26" borderId="14" xfId="1" applyFont="1" applyFill="1" applyBorder="1" applyAlignment="1">
      <alignment horizontal="left" vertical="center"/>
    </xf>
    <xf numFmtId="166" fontId="23" fillId="26" borderId="14" xfId="1" applyNumberFormat="1" applyFont="1" applyFill="1" applyBorder="1" applyAlignment="1">
      <alignment horizontal="center" vertical="center"/>
    </xf>
    <xf numFmtId="0" fontId="25" fillId="23" borderId="14" xfId="1" applyFont="1" applyFill="1" applyBorder="1" applyAlignment="1">
      <alignment horizontal="center" vertical="center"/>
    </xf>
    <xf numFmtId="166" fontId="21" fillId="27" borderId="14" xfId="1" applyNumberFormat="1" applyFont="1" applyFill="1" applyBorder="1" applyAlignment="1">
      <alignment horizontal="center" vertical="center"/>
    </xf>
    <xf numFmtId="166" fontId="26" fillId="26" borderId="14" xfId="1" applyNumberFormat="1" applyFont="1" applyFill="1" applyBorder="1" applyAlignment="1">
      <alignment horizontal="center" vertical="center"/>
    </xf>
    <xf numFmtId="0" fontId="25" fillId="26" borderId="14" xfId="1" applyFont="1" applyFill="1" applyBorder="1" applyAlignment="1">
      <alignment horizontal="center" vertical="center"/>
    </xf>
    <xf numFmtId="166" fontId="27" fillId="19" borderId="14" xfId="1" applyNumberFormat="1" applyFont="1" applyFill="1" applyBorder="1" applyAlignment="1">
      <alignment horizontal="center" vertical="center"/>
    </xf>
    <xf numFmtId="166" fontId="28" fillId="22" borderId="14" xfId="1" applyNumberFormat="1" applyFont="1" applyFill="1" applyBorder="1" applyAlignment="1">
      <alignment horizontal="center" vertical="center"/>
    </xf>
    <xf numFmtId="166" fontId="29" fillId="29" borderId="14" xfId="1" applyNumberFormat="1" applyFont="1" applyFill="1" applyBorder="1" applyAlignment="1">
      <alignment horizontal="center" vertical="center"/>
    </xf>
    <xf numFmtId="165" fontId="3" fillId="2" borderId="0" xfId="0" applyNumberFormat="1" applyFont="1" applyFill="1" applyAlignment="1">
      <alignment horizontal="center" vertical="center"/>
    </xf>
    <xf numFmtId="164" fontId="5" fillId="9" borderId="0" xfId="0" applyNumberFormat="1" applyFont="1" applyFill="1" applyAlignment="1">
      <alignment horizontal="center"/>
    </xf>
    <xf numFmtId="164" fontId="0" fillId="30" borderId="4" xfId="0" applyNumberFormat="1" applyFill="1" applyBorder="1" applyAlignment="1">
      <alignment horizontal="left" vertical="center"/>
    </xf>
    <xf numFmtId="164" fontId="3" fillId="12" borderId="0" xfId="0" applyNumberFormat="1" applyFont="1" applyFill="1" applyAlignment="1">
      <alignment horizontal="left" vertical="center"/>
    </xf>
    <xf numFmtId="164" fontId="0" fillId="12" borderId="0" xfId="0" applyNumberFormat="1" applyFill="1" applyAlignment="1">
      <alignment horizontal="left" vertical="center"/>
    </xf>
    <xf numFmtId="164" fontId="3" fillId="12" borderId="0" xfId="0" applyNumberFormat="1" applyFont="1" applyFill="1" applyAlignment="1">
      <alignment horizontal="left" vertical="center" wrapText="1"/>
    </xf>
    <xf numFmtId="164" fontId="3" fillId="0" borderId="0" xfId="0" applyNumberFormat="1" applyFont="1" applyAlignment="1">
      <alignment horizontal="left" vertical="center" wrapText="1"/>
    </xf>
    <xf numFmtId="164" fontId="0" fillId="0" borderId="15" xfId="0" applyNumberFormat="1" applyBorder="1" applyAlignment="1">
      <alignment horizontal="center"/>
    </xf>
    <xf numFmtId="0" fontId="7" fillId="9" borderId="6"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9" xfId="0" applyFont="1" applyFill="1" applyBorder="1" applyAlignment="1">
      <alignment horizontal="center" vertical="center" wrapText="1"/>
    </xf>
    <xf numFmtId="164" fontId="11" fillId="10" borderId="8" xfId="0" applyNumberFormat="1" applyFont="1" applyFill="1" applyBorder="1" applyAlignment="1">
      <alignment horizontal="center"/>
    </xf>
    <xf numFmtId="164" fontId="11" fillId="10" borderId="9" xfId="0" applyNumberFormat="1" applyFont="1" applyFill="1" applyBorder="1" applyAlignment="1">
      <alignment horizontal="center"/>
    </xf>
    <xf numFmtId="164" fontId="11" fillId="10" borderId="10" xfId="0" applyNumberFormat="1" applyFont="1" applyFill="1" applyBorder="1" applyAlignment="1">
      <alignment horizontal="center"/>
    </xf>
    <xf numFmtId="164" fontId="11" fillId="10" borderId="11" xfId="0" applyNumberFormat="1" applyFont="1" applyFill="1" applyBorder="1" applyAlignment="1">
      <alignment horizontal="center"/>
    </xf>
    <xf numFmtId="164" fontId="6" fillId="10" borderId="8" xfId="0" applyNumberFormat="1" applyFont="1" applyFill="1" applyBorder="1" applyAlignment="1">
      <alignment horizontal="center"/>
    </xf>
    <xf numFmtId="164" fontId="6" fillId="10" borderId="9" xfId="0" applyNumberFormat="1" applyFont="1" applyFill="1" applyBorder="1" applyAlignment="1">
      <alignment horizontal="center"/>
    </xf>
    <xf numFmtId="164" fontId="6" fillId="10" borderId="10" xfId="0" applyNumberFormat="1" applyFont="1" applyFill="1" applyBorder="1" applyAlignment="1">
      <alignment horizontal="center"/>
    </xf>
    <xf numFmtId="164" fontId="6" fillId="10" borderId="11" xfId="0" applyNumberFormat="1" applyFont="1" applyFill="1" applyBorder="1" applyAlignment="1">
      <alignment horizontal="center"/>
    </xf>
    <xf numFmtId="0" fontId="3" fillId="2" borderId="1" xfId="0" applyFont="1" applyFill="1" applyBorder="1" applyAlignment="1">
      <alignment horizontal="center" wrapText="1"/>
    </xf>
    <xf numFmtId="0" fontId="3" fillId="13" borderId="12" xfId="0" applyFont="1" applyFill="1" applyBorder="1" applyAlignment="1">
      <alignment horizontal="center" wrapText="1"/>
    </xf>
    <xf numFmtId="0" fontId="3" fillId="13" borderId="0" xfId="0" applyFont="1" applyFill="1" applyAlignment="1">
      <alignment horizontal="center" wrapText="1"/>
    </xf>
    <xf numFmtId="0" fontId="3" fillId="2" borderId="0" xfId="0" applyFont="1" applyFill="1" applyAlignment="1">
      <alignment horizontal="center" wrapText="1"/>
    </xf>
    <xf numFmtId="164" fontId="14" fillId="0" borderId="0" xfId="0" applyNumberFormat="1" applyFont="1" applyAlignment="1">
      <alignment horizontal="center"/>
    </xf>
    <xf numFmtId="0" fontId="14" fillId="0" borderId="0" xfId="0" applyFont="1" applyAlignment="1">
      <alignment horizontal="center"/>
    </xf>
    <xf numFmtId="164" fontId="15" fillId="3" borderId="12" xfId="0" applyNumberFormat="1" applyFont="1" applyFill="1" applyBorder="1" applyAlignment="1">
      <alignment horizontal="center" vertical="center"/>
    </xf>
    <xf numFmtId="164" fontId="15" fillId="3" borderId="0" xfId="0" applyNumberFormat="1" applyFont="1" applyFill="1" applyAlignment="1">
      <alignment horizontal="center" vertical="center"/>
    </xf>
    <xf numFmtId="164" fontId="9" fillId="3" borderId="16" xfId="0" applyNumberFormat="1" applyFont="1" applyFill="1" applyBorder="1" applyAlignment="1">
      <alignment horizontal="center" vertical="center"/>
    </xf>
    <xf numFmtId="164" fontId="9" fillId="3" borderId="17" xfId="0" applyNumberFormat="1" applyFont="1" applyFill="1" applyBorder="1" applyAlignment="1">
      <alignment horizontal="center" vertical="center"/>
    </xf>
    <xf numFmtId="164" fontId="9" fillId="3" borderId="18" xfId="0" applyNumberFormat="1" applyFont="1" applyFill="1" applyBorder="1" applyAlignment="1">
      <alignment horizontal="center" vertical="center"/>
    </xf>
    <xf numFmtId="164" fontId="9" fillId="0" borderId="0" xfId="0" applyNumberFormat="1" applyFont="1" applyAlignment="1">
      <alignment horizontal="center" vertical="center"/>
    </xf>
    <xf numFmtId="0" fontId="9" fillId="0" borderId="0" xfId="0" applyFont="1" applyAlignment="1">
      <alignment horizontal="center" vertical="center"/>
    </xf>
    <xf numFmtId="0" fontId="17" fillId="19" borderId="13" xfId="1" applyFont="1" applyFill="1" applyBorder="1" applyAlignment="1">
      <alignment horizontal="center" vertical="center"/>
    </xf>
    <xf numFmtId="0" fontId="18" fillId="20" borderId="13" xfId="1" applyFont="1" applyFill="1" applyBorder="1" applyAlignment="1">
      <alignment horizontal="center" vertical="center"/>
    </xf>
    <xf numFmtId="0" fontId="27" fillId="19" borderId="13" xfId="1" applyFont="1" applyFill="1" applyBorder="1" applyAlignment="1">
      <alignment horizontal="center" vertical="center"/>
    </xf>
    <xf numFmtId="0" fontId="19" fillId="28" borderId="13" xfId="1" applyFont="1" applyFill="1" applyBorder="1" applyAlignment="1">
      <alignment horizontal="center" vertical="center"/>
    </xf>
    <xf numFmtId="0" fontId="30" fillId="26" borderId="0" xfId="1" applyFont="1" applyFill="1" applyAlignment="1">
      <alignment horizontal="left" vertical="center"/>
    </xf>
  </cellXfs>
  <cellStyles count="2">
    <cellStyle name="Normal" xfId="0" builtinId="0"/>
    <cellStyle name="Normal 2" xfId="1" xr:uid="{407FE30E-88EA-4579-94D9-09ED6A0877DD}"/>
  </cellStyles>
  <dxfs count="488">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theme="0" tint="-0.34998626667073579"/>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family val="2"/>
      </font>
      <numFmt numFmtId="164" formatCode="#,##0\ &quot;CFA&quot;"/>
    </dxf>
    <dxf>
      <font>
        <b/>
        <family val="2"/>
      </font>
      <numFmt numFmtId="164" formatCode="#,##0\ &quot;CFA&quot;"/>
    </dxf>
    <dxf>
      <font>
        <b/>
        <family val="2"/>
      </font>
      <numFmt numFmtId="164" formatCode="#,##0\ &quot;CFA&quot;"/>
    </dxf>
    <dxf>
      <font>
        <b/>
        <i val="0"/>
        <strike val="0"/>
        <condense val="0"/>
        <extend val="0"/>
        <outline val="0"/>
        <shadow val="0"/>
        <u val="none"/>
        <vertAlign val="baseline"/>
        <sz val="11"/>
        <color auto="1"/>
        <name val="Calibri"/>
        <scheme val="none"/>
      </font>
    </dxf>
    <dxf>
      <font>
        <b/>
      </font>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19" formatCode="dd/mm/yyyy"/>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19" formatCode="dd/mm/yyyy"/>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left"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font>
    </dxf>
    <dxf>
      <font>
        <b/>
      </font>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numFmt numFmtId="164" formatCode="#,##0\ &quot;CFA&quot;"/>
      <fill>
        <patternFill patternType="solid">
          <fgColor indexed="64"/>
          <bgColor theme="9" tint="0.59999389629810485"/>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 &quot;CFA&quot;"/>
      <fill>
        <patternFill patternType="solid">
          <fgColor indexed="64"/>
          <bgColor rgb="FFFF0000"/>
        </patternFill>
      </fill>
      <alignment horizontal="center" vertical="bottom"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59999389629810485"/>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 &quot;CFA&quot;"/>
      <fill>
        <patternFill patternType="solid">
          <fgColor indexed="64"/>
          <bgColor rgb="FFFF0000"/>
        </patternFill>
      </fill>
      <alignment horizontal="center" vertical="bottom"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 &quot;CFA&quot;"/>
      <fill>
        <patternFill patternType="solid">
          <fgColor indexed="64"/>
          <bgColor rgb="FFFF0000"/>
        </patternFill>
      </fill>
      <alignment horizontal="center" vertical="bottom"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 &quot;CFA&quot;"/>
      <fill>
        <patternFill patternType="solid">
          <fgColor indexed="64"/>
          <bgColor rgb="FFFF0000"/>
        </patternFill>
      </fill>
      <alignment horizontal="center" vertical="bottom"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 &quot;CFA&quot;"/>
      <fill>
        <patternFill patternType="solid">
          <fgColor indexed="64"/>
          <bgColor rgb="FFFF0000"/>
        </patternFill>
      </fill>
      <alignment horizontal="center" vertical="bottom"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numFmt numFmtId="164" formatCode="#,##0\ &quot;CFA&quot;"/>
      <fill>
        <patternFill patternType="solid">
          <fgColor indexed="64"/>
          <bgColor rgb="FFFF0000"/>
        </patternFill>
      </fill>
      <alignment horizontal="center" vertical="center" textRotation="0" wrapText="0" indent="0" justifyLastLine="0" shrinkToFit="0" readingOrder="0"/>
    </dxf>
    <dxf>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numFmt numFmtId="164" formatCode="#,##0\ &quot;CFA&quot;"/>
      <fill>
        <patternFill patternType="solid">
          <fgColor indexed="64"/>
          <bgColor rgb="FFFF0000"/>
        </patternFill>
      </fill>
      <alignment horizontal="center" vertical="center" textRotation="0" wrapText="0" indent="0" justifyLastLine="0" shrinkToFit="0" readingOrder="0"/>
    </dxf>
    <dxf>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numFmt numFmtId="164" formatCode="#,##0\ &quot;CFA&quot;"/>
      <fill>
        <patternFill patternType="solid">
          <fgColor indexed="64"/>
          <bgColor rgb="FFFF0000"/>
        </patternFill>
      </fill>
      <alignment horizontal="center" vertical="center" textRotation="0" wrapText="0" indent="0" justifyLastLine="0" shrinkToFit="0" readingOrder="0"/>
    </dxf>
    <dxf>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rgb="FFFF0000"/>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numFmt numFmtId="164" formatCode="#,##0\ &quot;CFA&quot;"/>
      <fill>
        <patternFill patternType="solid">
          <fgColor indexed="64"/>
          <bgColor rgb="FFFF0000"/>
        </patternFill>
      </fill>
      <alignment horizontal="center" vertical="center" textRotation="0" wrapText="0" indent="0" justifyLastLine="0" shrinkToFit="0" readingOrder="0"/>
    </dxf>
    <dxf>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fill>
        <patternFill patternType="solid">
          <fgColor indexed="64"/>
          <bgColor rgb="FFFF0000"/>
        </patternFill>
      </fill>
      <alignment horizontal="general" vertical="center" textRotation="0" wrapText="0" indent="0" justifyLastLine="0" shrinkToFit="0" readingOrder="0"/>
    </dxf>
    <dxf>
      <numFmt numFmtId="165" formatCode="#,##0\ _C_F_A"/>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 _C_F_A"/>
      <fill>
        <patternFill patternType="solid">
          <fgColor indexed="64"/>
          <bgColor rgb="FFFF0000"/>
        </patternFill>
      </fill>
      <alignment horizontal="general" vertical="center" textRotation="0" wrapText="0" indent="0" justifyLastLine="0" shrinkToFit="0" readingOrder="0"/>
    </dxf>
    <dxf>
      <numFmt numFmtId="165" formatCode="#,##0\ _C_F_A"/>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59999389629810485"/>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164" formatCode="#,##0\ &quot;CFA&quot;"/>
      <fill>
        <patternFill patternType="solid">
          <fgColor indexed="64"/>
          <bgColor theme="9" tint="-0.249977111117893"/>
        </patternFill>
      </fill>
      <alignment horizontal="left" vertical="center" textRotation="0" wrapText="0" indent="0" justifyLastLine="0" shrinkToFit="0" readingOrder="0"/>
    </dxf>
    <dxf>
      <numFmt numFmtId="164" formatCode="#,##0\ &quot;CFA&quo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0\ &quot;CFA&quot;"/>
      <fill>
        <patternFill patternType="solid">
          <fgColor indexed="64"/>
          <bgColor rgb="FFFF0000"/>
        </patternFill>
      </fill>
      <alignment horizontal="center" vertical="center" textRotation="0" wrapText="0" indent="0" justifyLastLine="0" shrinkToFit="0" readingOrder="0"/>
    </dxf>
    <dxf>
      <font>
        <b/>
      </font>
      <numFmt numFmtId="164" formatCode="#,##0\ &quot;CFA&quo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4" formatCode="#,##0\ &quot;CFA&quot;"/>
      <fill>
        <patternFill patternType="solid">
          <fgColor indexed="64"/>
          <bgColor rgb="FFFF0000"/>
        </patternFill>
      </fill>
      <alignment horizontal="center" vertical="bottom" textRotation="0" wrapText="0" indent="0" justifyLastLine="0" shrinkToFit="0" readingOrder="0"/>
    </dxf>
    <dxf>
      <font>
        <b/>
      </font>
      <numFmt numFmtId="164" formatCode="#,##0\ &quot;CFA&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046194-63F0-4C2F-9443-FA540445FE81}" name="Tableau147" displayName="Tableau147" ref="A1:I16" totalsRowCount="1" headerRowDxfId="451" dataDxfId="450">
  <autoFilter ref="A1:I15" xr:uid="{39C95050-DAAF-4ED7-A11D-1682D4220428}"/>
  <tableColumns count="9">
    <tableColumn id="1" xr3:uid="{5A06C2CC-B69F-4C7D-AA46-2E4A588156EC}" name="Date"/>
    <tableColumn id="2" xr3:uid="{DD85BC48-D57D-4C3A-9F55-336381C2A25F}" name="Mois" dataDxfId="449" totalsRowDxfId="448"/>
    <tableColumn id="3" xr3:uid="{6B50D852-44C2-45CE-8730-D259EDD0ED84}" name="Véhicule" dataDxfId="447" totalsRowDxfId="446"/>
    <tableColumn id="4" xr3:uid="{961AC534-0B0E-430D-A9F1-7A0D2DD12E51}" name="Entreprise" dataDxfId="445" totalsRowDxfId="444"/>
    <tableColumn id="5" xr3:uid="{1F84926F-ED5B-4238-9576-1536E6030B02}" name="Montant (FCFA)" totalsRowFunction="custom" dataDxfId="443" totalsRowDxfId="442">
      <totalsRowFormula>SUM(E8:E14)</totalsRowFormula>
    </tableColumn>
    <tableColumn id="10" xr3:uid="{5A4ED403-CA1B-46C4-9060-F4019AE5CBCD}" name="Carburant (FCFA)" totalsRowFunction="custom" dataDxfId="441" totalsRowDxfId="440">
      <totalsRowFormula>SUM(F8:F14)</totalsRowFormula>
    </tableColumn>
    <tableColumn id="6" xr3:uid="{2B3C760A-73F1-4587-BCB9-296D643770DA}" name="Mode de paiement" dataDxfId="439" totalsRowDxfId="438"/>
    <tableColumn id="11" xr3:uid="{A456E8AC-1D74-4A89-BE90-B3F130D2CB65}" name="recharge yango" totalsRowFunction="custom" dataDxfId="437" totalsRowDxfId="436">
      <totalsRowFormula>SUM(Tableau147[recharge yango])</totalsRowFormula>
    </tableColumn>
    <tableColumn id="12" xr3:uid="{1FC00787-B51D-4BA7-8374-F63E49F79F0E}" name="unités" dataDxfId="435" totalsRowDxfId="4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4AEFB8-2954-425A-ACCA-F83E7B8082B8}" name="Tableau48" displayName="Tableau48" ref="A20:I28" totalsRowCount="1" headerRowDxfId="433" dataDxfId="432">
  <autoFilter ref="A20:I27" xr:uid="{5D251BBA-EDAB-485F-8F10-4C3417E523E3}"/>
  <tableColumns count="9">
    <tableColumn id="1" xr3:uid="{B787D4E9-AFD0-45BE-A86D-C34F9A94A623}" name="Colonne1" dataDxfId="431" totalsRowDxfId="430"/>
    <tableColumn id="2" xr3:uid="{7C109D2F-8570-4B46-9540-9AACAB805C07}" name="Colonne2" dataDxfId="429" totalsRowDxfId="428"/>
    <tableColumn id="3" xr3:uid="{9DCCE3D3-D9BB-478C-A780-4B3CBBE0A44C}" name="Colonne3" dataDxfId="427" totalsRowDxfId="426"/>
    <tableColumn id="4" xr3:uid="{FC405A3D-D57C-44AD-B682-E950E57EE3A1}" name="Colonne4" dataDxfId="425" totalsRowDxfId="424"/>
    <tableColumn id="5" xr3:uid="{6CF012BE-0B3B-4C0C-92BF-E8E6447BD181}" name="Colonne5" totalsRowFunction="custom" dataDxfId="423" totalsRowDxfId="422">
      <totalsRowFormula>SUM(E21:E27)</totalsRowFormula>
    </tableColumn>
    <tableColumn id="6" xr3:uid="{5FB1F0A6-E154-4665-A08D-D87C835BD987}" name="Colonne6" totalsRowFunction="custom" dataDxfId="421" totalsRowDxfId="420">
      <totalsRowFormula>SUM(Tableau48[Colonne6])</totalsRowFormula>
    </tableColumn>
    <tableColumn id="7" xr3:uid="{4109C1E0-F9A6-4EA6-BFE5-258E35E096D9}" name="Colonne7" dataDxfId="419" totalsRowDxfId="418"/>
    <tableColumn id="8" xr3:uid="{61A4E27E-B213-4192-BC26-9C88ABCFA594}" name="Colonne8" totalsRowFunction="custom" dataDxfId="417" totalsRowDxfId="416">
      <totalsRowFormula>SUM(Tableau48[Colonne8])</totalsRowFormula>
    </tableColumn>
    <tableColumn id="9" xr3:uid="{D7194055-99A7-49CE-AF20-5C7BCDC965B1}" name="Colonne9" dataDxfId="415" totalsRowDxfId="414"/>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649062-5A84-4DF3-B0FF-D6E589AD7F9A}" name="Tableau14" displayName="Tableau14" ref="A1:I18" totalsRowCount="1" headerRowDxfId="413" dataDxfId="412">
  <autoFilter ref="A1:I17" xr:uid="{39C95050-DAAF-4ED7-A11D-1682D4220428}"/>
  <tableColumns count="9">
    <tableColumn id="1" xr3:uid="{7216A85D-2C47-480B-A6C2-0B4BF0288A5D}" name="Date"/>
    <tableColumn id="2" xr3:uid="{3820523B-CB3C-4379-9D56-C32C5DEDBEBE}" name="Mois" dataDxfId="411" totalsRowDxfId="410"/>
    <tableColumn id="3" xr3:uid="{2821FDC0-DDED-4D5D-909B-ED398DF28490}" name="Véhicule" dataDxfId="409" totalsRowDxfId="408"/>
    <tableColumn id="4" xr3:uid="{98F3547B-9E10-487C-A192-0596A84253EA}" name="Entreprise" dataDxfId="407" totalsRowDxfId="406"/>
    <tableColumn id="5" xr3:uid="{4302AC00-94B0-445B-B077-065A5F9CF78B}" name="Montant (FCFA)" totalsRowFunction="custom" dataDxfId="405" totalsRowDxfId="404">
      <totalsRowFormula>SUM(E11:E17)</totalsRowFormula>
    </tableColumn>
    <tableColumn id="10" xr3:uid="{E038D688-C9E7-45F1-B154-A8AABA9A9B57}" name="Carburant (FCFA)" totalsRowFunction="custom" dataDxfId="403" totalsRowDxfId="402">
      <totalsRowFormula>SUM(F11:F17)</totalsRowFormula>
    </tableColumn>
    <tableColumn id="6" xr3:uid="{B1AFB766-6CE4-4281-A541-FD20AFB1ECE2}" name="Mode de paiement" dataDxfId="401" totalsRowDxfId="400"/>
    <tableColumn id="11" xr3:uid="{2053757C-A8C4-4E64-8F79-3FCFCBDEC26C}" name="recharge yango" totalsRowFunction="custom" dataDxfId="399" totalsRowDxfId="398">
      <totalsRowFormula>SUM(H11:H17)</totalsRowFormula>
    </tableColumn>
    <tableColumn id="12" xr3:uid="{8E27BB9D-3DB3-420D-9430-550D73B855D7}" name="unités" dataDxfId="397" totalsRowDxfId="39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251BBA-EDAB-485F-8F10-4C3417E523E3}" name="Tableau4" displayName="Tableau4" ref="A22:I30" totalsRowCount="1" headerRowDxfId="395" dataDxfId="394">
  <autoFilter ref="A22:I29" xr:uid="{5D251BBA-EDAB-485F-8F10-4C3417E523E3}"/>
  <tableColumns count="9">
    <tableColumn id="1" xr3:uid="{7F81C4C5-0686-43FB-A681-8BBC53E3C4B0}" name="Colonne1" dataDxfId="393" totalsRowDxfId="392"/>
    <tableColumn id="2" xr3:uid="{87AB223C-EA00-44C5-AAD7-51A126FA7198}" name="Colonne2" dataDxfId="391" totalsRowDxfId="390"/>
    <tableColumn id="3" xr3:uid="{B12B8162-DACF-4A4A-AB2B-4635BE647EA9}" name="Colonne3" dataDxfId="389" totalsRowDxfId="388"/>
    <tableColumn id="4" xr3:uid="{69F09816-F88D-437B-821E-8B6BDC58DB9E}" name="Colonne4" dataDxfId="387" totalsRowDxfId="386"/>
    <tableColumn id="5" xr3:uid="{55033F77-13BB-44AD-9F4F-2E26C0B08EF7}" name="Colonne5" totalsRowFunction="custom" dataDxfId="385" totalsRowDxfId="384">
      <totalsRowFormula>SUM(E23:E29)</totalsRowFormula>
    </tableColumn>
    <tableColumn id="6" xr3:uid="{51136F79-A39B-4A6D-B808-F03932DA6127}" name="Colonne6" totalsRowFunction="custom" dataDxfId="383" totalsRowDxfId="382">
      <totalsRowFormula>SUM(Tableau4[Colonne6])</totalsRowFormula>
    </tableColumn>
    <tableColumn id="7" xr3:uid="{17619F45-3FB0-4235-85B5-B5D8122588FC}" name="Colonne7" dataDxfId="381" totalsRowDxfId="380"/>
    <tableColumn id="8" xr3:uid="{18ADB602-C27B-41EF-ABEA-6DEC3988D217}" name="Colonne8" totalsRowFunction="custom" dataDxfId="379" totalsRowDxfId="378">
      <totalsRowFormula>SUM(Tableau4[Colonne8])</totalsRowFormula>
    </tableColumn>
    <tableColumn id="9" xr3:uid="{B4E411E1-7735-4847-816A-65F875C4E8EC}" name="Colonne9" dataDxfId="377" totalsRowDxfId="376"/>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AB7ECE3-8037-4CBE-8946-D2FD3C2B781C}" name="Tableau149" displayName="Tableau149" ref="A1:I18" totalsRowCount="1" headerRowDxfId="375" dataDxfId="374">
  <autoFilter ref="A1:I17" xr:uid="{39C95050-DAAF-4ED7-A11D-1682D4220428}"/>
  <tableColumns count="9">
    <tableColumn id="1" xr3:uid="{9D83CC27-2B4E-49DF-9CAC-748D0EFA28C9}" name="Date"/>
    <tableColumn id="2" xr3:uid="{463755F4-B87D-4610-95CA-4EDC2297DE6B}" name="Mois" dataDxfId="373" totalsRowDxfId="372"/>
    <tableColumn id="3" xr3:uid="{2D738225-CF07-4A0E-B7BD-F84D88D2FE6C}" name="Véhicule" dataDxfId="371" totalsRowDxfId="370"/>
    <tableColumn id="4" xr3:uid="{A07F6D24-78EB-42CE-8993-8FAC90D28BC5}" name="Entreprise" dataDxfId="369" totalsRowDxfId="368"/>
    <tableColumn id="5" xr3:uid="{865F436E-DDB8-41D0-806D-6A6F8C1A251A}" name="Montant (FCFA)" totalsRowFunction="custom" dataDxfId="367" totalsRowDxfId="366">
      <totalsRowFormula>SUM(E11:E17)</totalsRowFormula>
    </tableColumn>
    <tableColumn id="10" xr3:uid="{2E8985F1-C9FE-4AFB-BE99-7B13638D9970}" name="Carburant (FCFA)" totalsRowFunction="custom" dataDxfId="365" totalsRowDxfId="364">
      <totalsRowFormula>SUM(F11:F17)</totalsRowFormula>
    </tableColumn>
    <tableColumn id="6" xr3:uid="{ED6E442B-500F-49AA-82CE-08B7ECD5DC14}" name="Mode de paiement" dataDxfId="363" totalsRowDxfId="362"/>
    <tableColumn id="11" xr3:uid="{031B9EA5-6715-44C0-8E73-74CBCA4EA25E}" name="recharge yango &amp; Unités" totalsRowFunction="custom" dataDxfId="361" totalsRowDxfId="360">
      <totalsRowFormula>SUM(H11:H17)</totalsRowFormula>
    </tableColumn>
    <tableColumn id="12" xr3:uid="{2AA72E99-571C-4244-BD6B-D06AE184BBC1}" name="unités" dataDxfId="359" totalsRowDxfId="3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4173F2-91A5-45A3-B4CB-540EC642326E}" name="Tableau410" displayName="Tableau410" ref="A20:I28" totalsRowCount="1" headerRowDxfId="357" dataDxfId="356">
  <autoFilter ref="A20:I27" xr:uid="{5D251BBA-EDAB-485F-8F10-4C3417E523E3}"/>
  <tableColumns count="9">
    <tableColumn id="1" xr3:uid="{D41DACBA-CD3B-4A8E-A7E9-BA473635687A}" name="Colonne1" dataDxfId="355" totalsRowDxfId="354"/>
    <tableColumn id="2" xr3:uid="{70E1444F-3686-4E76-86D2-138AD192DCEB}" name="Colonne2" dataDxfId="353" totalsRowDxfId="352"/>
    <tableColumn id="3" xr3:uid="{07761327-37D0-42F8-A918-17A523873C6C}" name="Colonne3" dataDxfId="351" totalsRowDxfId="350"/>
    <tableColumn id="4" xr3:uid="{4FA28A98-76CC-444C-8B5C-7DC049C98D3D}" name="Colonne4" dataDxfId="349" totalsRowDxfId="348"/>
    <tableColumn id="5" xr3:uid="{086867B2-22BD-4BB2-B16D-AD6097669AA4}" name="Colonne5" totalsRowFunction="custom" dataDxfId="347" totalsRowDxfId="346">
      <totalsRowFormula>SUM(E21:E27)</totalsRowFormula>
    </tableColumn>
    <tableColumn id="6" xr3:uid="{9AFA695A-59D2-498B-89BD-2DE7F9FEC598}" name="Colonne6" totalsRowFunction="custom" dataDxfId="345" totalsRowDxfId="344">
      <totalsRowFormula>SUM(Tableau410[Colonne6])</totalsRowFormula>
    </tableColumn>
    <tableColumn id="7" xr3:uid="{EA367545-0E2C-43A7-AF83-8D8A37A9C0DA}" name="Colonne7" dataDxfId="343" totalsRowDxfId="342"/>
    <tableColumn id="8" xr3:uid="{EC757029-9885-4F94-BE17-638FFC8CDE04}" name="Colonne8" totalsRowFunction="custom" dataDxfId="341" totalsRowDxfId="340">
      <totalsRowFormula>SUM(Tableau410[Colonne8])</totalsRowFormula>
    </tableColumn>
    <tableColumn id="9" xr3:uid="{55171C9C-47B9-4A36-9D59-37F066AD6466}" name="Colonne9" totalsRowLabel="Nous devons conpleter 95000 pour fa" dataDxfId="339" totalsRowDxfId="338"/>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8E91B97-5131-40F6-8013-D1E69E54A937}" name="Tableau4101213" displayName="Tableau4101213" ref="A20:I28" totalsRowCount="1" headerRowDxfId="337" dataDxfId="336">
  <autoFilter ref="A20:I27" xr:uid="{5D251BBA-EDAB-485F-8F10-4C3417E523E3}"/>
  <tableColumns count="9">
    <tableColumn id="1" xr3:uid="{E9A92F7D-ECE3-4C45-BB6F-1B839FC8DC8D}" name="Colonne1" dataDxfId="335" totalsRowDxfId="334"/>
    <tableColumn id="2" xr3:uid="{BDB4724C-8508-4C8B-97CC-E4AB5F4D5F15}" name="Colonne2" dataDxfId="333" totalsRowDxfId="332"/>
    <tableColumn id="3" xr3:uid="{FB8938E5-5AF3-4D78-A63B-D499DC09B154}" name="Colonne3" dataDxfId="331" totalsRowDxfId="330"/>
    <tableColumn id="4" xr3:uid="{8B68F8EA-1EDA-4278-9EA1-652FDA979833}" name="Colonne4" dataDxfId="329" totalsRowDxfId="328"/>
    <tableColumn id="5" xr3:uid="{21FC4C06-A400-40F1-B56C-6704266FD299}" name="Colonne5" totalsRowFunction="custom" dataDxfId="327" totalsRowDxfId="326">
      <totalsRowFormula>SUM(E21:E27)</totalsRowFormula>
    </tableColumn>
    <tableColumn id="6" xr3:uid="{7BA14759-35CC-416F-90A1-9A3DE281A67D}" name="Colonne6" totalsRowFunction="custom" dataDxfId="325" totalsRowDxfId="324">
      <totalsRowFormula>SUM(Tableau4101213[Colonne6])</totalsRowFormula>
    </tableColumn>
    <tableColumn id="7" xr3:uid="{A480CDB7-B1CB-44D5-A6E4-767869640F7D}" name="Colonne7" dataDxfId="323" totalsRowDxfId="322"/>
    <tableColumn id="8" xr3:uid="{E0B57E45-DE9A-40CA-B17F-ED435DA483FA}" name="Colonne8" totalsRowLabel="T" dataDxfId="321" totalsRowDxfId="320"/>
    <tableColumn id="9" xr3:uid="{F7C05BD3-F47D-4446-8D93-A912823DCC7C}" name="Colonne9" totalsRowLabel="10 000 fcfa ont été pris par aicha pour le caburant de 180 on passe a 170" dataDxfId="319" totalsRowDxfId="318"/>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78EB2F-E9DF-4692-B390-666667AE51DE}" name="Tableau149116" displayName="Tableau149116" ref="A1:I18" totalsRowCount="1" headerRowDxfId="317" dataDxfId="316">
  <autoFilter ref="A1:I17" xr:uid="{39C95050-DAAF-4ED7-A11D-1682D4220428}"/>
  <tableColumns count="9">
    <tableColumn id="1" xr3:uid="{782481C5-3CE3-4D08-8345-E10A44EB7243}" name="Date"/>
    <tableColumn id="2" xr3:uid="{3BEEB2B8-70EB-4EC7-BF9A-03169D9FFB42}" name="Mois" dataDxfId="315" totalsRowDxfId="314"/>
    <tableColumn id="3" xr3:uid="{B036E704-577F-445B-9646-7C7EE9CDA8EA}" name="Véhicule" dataDxfId="313" totalsRowDxfId="312"/>
    <tableColumn id="4" xr3:uid="{7B4038A8-0085-44C6-88E6-DC38795C4AC0}" name="Entreprise" dataDxfId="311" totalsRowDxfId="310"/>
    <tableColumn id="5" xr3:uid="{9C97D375-E229-4621-A6D8-8FA0FE7A48B7}" name="Montant (FCFA)" totalsRowFunction="custom" dataDxfId="309" totalsRowDxfId="308">
      <totalsRowFormula>SUM(E11:E17)</totalsRowFormula>
    </tableColumn>
    <tableColumn id="10" xr3:uid="{AEF354E0-6A49-40F7-8DA3-1C125025021F}" name="Carburant (FCFA)" dataDxfId="307" totalsRowDxfId="306"/>
    <tableColumn id="6" xr3:uid="{ECB7F9CE-8D70-4C57-9245-18580C985CFC}" name="Mode de paiement" dataDxfId="305" totalsRowDxfId="304"/>
    <tableColumn id="11" xr3:uid="{631CC02C-9380-49CE-A133-447BBE9F7BCC}" name="recharge yango &amp; Unités" totalsRowFunction="custom" dataDxfId="303" totalsRowDxfId="302">
      <totalsRowFormula>SUM(H11:H17)</totalsRowFormula>
    </tableColumn>
    <tableColumn id="12" xr3:uid="{AED6DCB9-ACA5-4584-B1AA-3052941F0081}" name="unités" dataDxfId="301" totalsRowDxfId="30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F7E046B-4B91-4DF3-BE65-1FAB20BF555A}" name="Tableau410121311" displayName="Tableau410121311" ref="A20:I26" totalsRowCount="1" headerRowDxfId="299" dataDxfId="298">
  <autoFilter ref="A20:I25" xr:uid="{5D251BBA-EDAB-485F-8F10-4C3417E523E3}"/>
  <tableColumns count="9">
    <tableColumn id="1" xr3:uid="{0F6DF2ED-4E34-4FFE-B9FD-C7E607A8E047}" name="Colonne1" dataDxfId="297" totalsRowDxfId="296"/>
    <tableColumn id="2" xr3:uid="{0E758E12-C31B-4912-ADDB-5A34BC2F1A66}" name="Colonne2" dataDxfId="295" totalsRowDxfId="294"/>
    <tableColumn id="3" xr3:uid="{053122F3-8D5F-47D9-9ED3-8AD895346236}" name="Colonne3" dataDxfId="293" totalsRowDxfId="292"/>
    <tableColumn id="4" xr3:uid="{99B406E1-CF26-4C7F-AAB6-FBC3184605A4}" name="Colonne4" dataDxfId="291" totalsRowDxfId="290"/>
    <tableColumn id="5" xr3:uid="{E424516B-B3C1-42A2-9DAD-363B9CBFDEB6}" name="Colonne5" totalsRowFunction="custom" dataDxfId="289" totalsRowDxfId="288">
      <totalsRowFormula>SUM(E21:E25)</totalsRowFormula>
    </tableColumn>
    <tableColumn id="6" xr3:uid="{AAF037CF-1DB2-482D-BEEB-9AA349A28DAE}" name="Colonne6" dataDxfId="287" totalsRowDxfId="286"/>
    <tableColumn id="7" xr3:uid="{3C758762-4977-4CBC-8584-7ED49F89BFAC}" name="Colonne7" dataDxfId="285" totalsRowDxfId="284"/>
    <tableColumn id="8" xr3:uid="{2D590808-0260-47D1-8CE3-63F750AB7DF1}" name="Colonne8" dataDxfId="283" totalsRowDxfId="282"/>
    <tableColumn id="9" xr3:uid="{F8843502-8A9C-4754-85E2-DF752A4DEAFF}" name="Colonne9" dataDxfId="281" totalsRowDxfId="280"/>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AA2127-4087-4B25-BB0C-B13B9FC0C90F}" name="Tableau14911612" displayName="Tableau14911612" ref="A1:I18" totalsRowCount="1" headerRowDxfId="279" dataDxfId="278">
  <autoFilter ref="A1:I17" xr:uid="{39C95050-DAAF-4ED7-A11D-1682D4220428}"/>
  <tableColumns count="9">
    <tableColumn id="1" xr3:uid="{10DC55C1-C6B3-42A9-8BBD-1B6BDDB12F1F}" name="Date"/>
    <tableColumn id="2" xr3:uid="{B065D5A9-6779-4EC5-98D5-4AF2593C552C}" name="Mois" dataDxfId="277" totalsRowDxfId="276"/>
    <tableColumn id="3" xr3:uid="{A465ABDD-DC28-4D0E-A711-A2B6652722DB}" name="Véhicule" dataDxfId="275" totalsRowDxfId="274"/>
    <tableColumn id="4" xr3:uid="{57AB5FAC-F24F-455D-922E-D1B914AD82FC}" name="Entreprise" dataDxfId="273" totalsRowDxfId="272"/>
    <tableColumn id="5" xr3:uid="{269960BC-66DF-4E61-8B70-E0E1D819D751}" name="Montant (FCFA)" totalsRowFunction="custom" dataDxfId="271" totalsRowDxfId="270">
      <totalsRowFormula>SUM(E11:E17)</totalsRowFormula>
    </tableColumn>
    <tableColumn id="10" xr3:uid="{55A2A4DF-A091-43C0-A80E-651181D2F317}" name="Carburant (FCFA)" dataDxfId="269" totalsRowDxfId="268"/>
    <tableColumn id="6" xr3:uid="{5FA10CC9-61D3-4001-B00D-17270D9125A3}" name="Mode de paiement" dataDxfId="267" totalsRowDxfId="266"/>
    <tableColumn id="11" xr3:uid="{D232364C-163D-45E0-8371-55E444BF535D}" name="recharge yango &amp; Unités" totalsRowFunction="custom" dataDxfId="265" totalsRowDxfId="264">
      <totalsRowFormula>SUM(H11:H17)</totalsRowFormula>
    </tableColumn>
    <tableColumn id="12" xr3:uid="{00A370D3-97EE-46F1-9946-23EA2F78A47E}" name="unités" dataDxfId="263" totalsRowDxfId="26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99F0C9-62E2-49BC-A75E-0247087C07D6}" name="Tableau4101213111416" displayName="Tableau4101213111416" ref="A20:I28" totalsRowCount="1" headerRowDxfId="261" dataDxfId="260">
  <autoFilter ref="A20:I27" xr:uid="{5D251BBA-EDAB-485F-8F10-4C3417E523E3}"/>
  <tableColumns count="9">
    <tableColumn id="1" xr3:uid="{5B2A26EE-B5D8-4724-AC47-A300E6DD5496}" name="Colonne1" dataDxfId="259" totalsRowDxfId="258"/>
    <tableColumn id="2" xr3:uid="{4F7EE1D2-C105-4157-8E22-BA3130737467}" name="Colonne2" dataDxfId="257" totalsRowDxfId="256"/>
    <tableColumn id="3" xr3:uid="{AA8EACD3-0F7C-4D3A-8571-E4DBD024200E}" name="Colonne3" dataDxfId="255" totalsRowDxfId="254"/>
    <tableColumn id="4" xr3:uid="{2D597064-BF52-449B-B15C-69DDF146AF67}" name="Colonne4" dataDxfId="253" totalsRowDxfId="252"/>
    <tableColumn id="5" xr3:uid="{AB9612E5-DC69-43CC-AB60-04E9C8E5C287}" name="Colonne5" totalsRowFunction="custom" dataDxfId="251" totalsRowDxfId="250">
      <totalsRowFormula>SUM(Tableau4101213111416[Colonne5])</totalsRowFormula>
    </tableColumn>
    <tableColumn id="6" xr3:uid="{AA9BC1EA-6310-4765-A1B3-A39BB30EE41C}" name="Colonne6" dataDxfId="249" totalsRowDxfId="248"/>
    <tableColumn id="7" xr3:uid="{0B44B1A2-1E72-4F5C-9441-27382853776D}" name="Colonne7" dataDxfId="247" totalsRowDxfId="246"/>
    <tableColumn id="8" xr3:uid="{5CAC51C1-1FC4-4F79-8971-26482792BDB3}" name="Colonne8" dataDxfId="245" totalsRowDxfId="244"/>
    <tableColumn id="9" xr3:uid="{699D2C9E-5178-41CF-838A-F29CC4AD95F1}" name="Colonne9" dataDxfId="243" totalsRowDxfId="242"/>
  </tableColumns>
  <tableStyleInfo name="TableStyleMedium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4649208-A773-4D8B-B308-25C4F4437CDB}" name="Tableau149116121517" displayName="Tableau149116121517" ref="A1:I18" totalsRowCount="1" headerRowDxfId="241" dataDxfId="240">
  <autoFilter ref="A1:I17" xr:uid="{39C95050-DAAF-4ED7-A11D-1682D4220428}"/>
  <tableColumns count="9">
    <tableColumn id="1" xr3:uid="{0690DB05-95AB-4B9C-ACD9-1FBE7431E739}" name="Date"/>
    <tableColumn id="2" xr3:uid="{3810E2DE-6CB2-4550-9E5C-D8EB6956EEEF}" name="Mois" dataDxfId="239" totalsRowDxfId="238"/>
    <tableColumn id="3" xr3:uid="{E1946035-4E03-447F-B0FB-6F22DB4EDF81}" name="Véhicule" dataDxfId="237" totalsRowDxfId="236"/>
    <tableColumn id="4" xr3:uid="{1E1CE27E-28E1-4A93-9CA3-D248F8208F7C}" name="Entreprise" dataDxfId="235" totalsRowDxfId="234"/>
    <tableColumn id="5" xr3:uid="{85F63C23-2CD9-4FD0-B919-90F7307F60C7}" name="Montant (FCFA)" totalsRowFunction="custom" dataDxfId="233" totalsRowDxfId="232">
      <totalsRowFormula>SUM(E11:E17)</totalsRowFormula>
    </tableColumn>
    <tableColumn id="10" xr3:uid="{1C6923FB-A9FD-493F-8167-4908D233D7FA}" name="Carburant (FCFA)" dataDxfId="231" totalsRowDxfId="230"/>
    <tableColumn id="6" xr3:uid="{074AEF77-C581-432B-9A30-F74C9806A667}" name="Mode de paiement" dataDxfId="229" totalsRowDxfId="228"/>
    <tableColumn id="11" xr3:uid="{76A076D1-2385-4881-95FE-5A829BEE4C91}" name="recharge yango &amp; Unités" totalsRowFunction="custom" dataDxfId="227" totalsRowDxfId="226">
      <totalsRowFormula>SUM(H11:H17)</totalsRowFormula>
    </tableColumn>
    <tableColumn id="12" xr3:uid="{AF35C6FF-13D2-4AC5-B46C-9DBF59471C6A}" name="unités" dataDxfId="225" totalsRowDxfId="22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5AF755F-AA79-471B-B5BA-C1CCBC721A65}" name="Tableau41012131114" displayName="Tableau41012131114" ref="A20:I28" totalsRowCount="1" headerRowDxfId="223" dataDxfId="222">
  <autoFilter ref="A20:I27" xr:uid="{5D251BBA-EDAB-485F-8F10-4C3417E523E3}"/>
  <tableColumns count="9">
    <tableColumn id="1" xr3:uid="{91DA0D41-8F6F-4F58-A84A-6F2BA258D809}" name="Colonne1" dataDxfId="221" totalsRowDxfId="220"/>
    <tableColumn id="2" xr3:uid="{0CB47B71-69F4-48DC-AE1D-5CFE8BD8216E}" name="Colonne2" dataDxfId="219" totalsRowDxfId="218"/>
    <tableColumn id="3" xr3:uid="{955588BA-CAAA-40A7-A05D-D8EE25E6D293}" name="Colonne3" dataDxfId="217" totalsRowDxfId="216"/>
    <tableColumn id="4" xr3:uid="{5DD08BE5-96E4-4FC9-B04A-8DDF0A3B0E9E}" name="Colonne4" dataDxfId="215" totalsRowDxfId="214"/>
    <tableColumn id="5" xr3:uid="{3E42476E-D38D-49CB-9D13-F7DEBACCB7B4}" name="Colonne5" totalsRowLabel="150 000 CFA" dataDxfId="213" totalsRowDxfId="212"/>
    <tableColumn id="6" xr3:uid="{2940625D-A9BA-4C2D-8E49-C4DEA4A8054F}" name="Colonne6" dataDxfId="211" totalsRowDxfId="210"/>
    <tableColumn id="7" xr3:uid="{3B8567A4-4B34-4D89-9953-680296BC4D9F}" name="Colonne7" dataDxfId="209" totalsRowDxfId="208"/>
    <tableColumn id="8" xr3:uid="{56DCD3E7-38DC-4B6F-9E07-C3AA141FE050}" name="Colonne8" dataDxfId="207" totalsRowDxfId="206"/>
    <tableColumn id="9" xr3:uid="{516C0C45-F3B6-45EB-823B-F8D5164EBFEA}" name="Colonne9" dataDxfId="205" totalsRowDxfId="204"/>
  </tableColumns>
  <tableStyleInfo name="TableStyleMedium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FF874EB-5224-4C91-BF66-6BF3B6D72CA3}" name="Tableau1491161215" displayName="Tableau1491161215" ref="A1:I18" totalsRowCount="1" headerRowDxfId="203" dataDxfId="202">
  <autoFilter ref="A1:I17" xr:uid="{39C95050-DAAF-4ED7-A11D-1682D4220428}"/>
  <tableColumns count="9">
    <tableColumn id="1" xr3:uid="{7D9A7842-2284-41BC-888E-EBAA84DC95C9}" name="Date"/>
    <tableColumn id="2" xr3:uid="{5B412A6F-E90E-4559-8817-CB39B6DD87B6}" name="Mois" dataDxfId="201" totalsRowDxfId="200"/>
    <tableColumn id="3" xr3:uid="{DE390BE4-9344-4CA8-88B4-390D5BE28A74}" name="Véhicule" dataDxfId="199" totalsRowDxfId="198"/>
    <tableColumn id="4" xr3:uid="{DEF73B17-4082-4981-B4AB-131B5D7E9EAE}" name="Entreprise" dataDxfId="197" totalsRowDxfId="196"/>
    <tableColumn id="5" xr3:uid="{96151993-933C-41A6-9C69-87FC9DCEA109}" name="Montant (FCFA)" totalsRowFunction="custom" dataDxfId="195" totalsRowDxfId="194">
      <totalsRowFormula>SUM(E11:E17)</totalsRowFormula>
    </tableColumn>
    <tableColumn id="10" xr3:uid="{52336212-BC30-42E8-A0C2-F2C0B2956FAA}" name="Carburant (FCFA)" dataDxfId="193" totalsRowDxfId="192"/>
    <tableColumn id="6" xr3:uid="{5F8DF3FF-73E5-4DC5-BFF4-B9875AA0738E}" name="Mode de paiement" dataDxfId="191" totalsRowDxfId="190"/>
    <tableColumn id="11" xr3:uid="{49D6230A-C0F6-41E4-B41E-39841C3E8AF0}" name="recharge yango &amp; Unités" dataDxfId="189" totalsRowDxfId="188"/>
    <tableColumn id="12" xr3:uid="{7A63A0F0-01E3-4315-97BA-041B053A0D79}" name="unités" dataDxfId="187" totalsRowDxfId="18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6C1D65-8710-4702-8D2F-059A0DBBCA83}" name="Tableau4101213111420" displayName="Tableau4101213111420" ref="A22:I30" totalsRowCount="1" headerRowDxfId="185" dataDxfId="184">
  <autoFilter ref="A22:I29" xr:uid="{5D251BBA-EDAB-485F-8F10-4C3417E523E3}"/>
  <tableColumns count="9">
    <tableColumn id="1" xr3:uid="{D9EAF4A2-D2A1-40F4-9977-80080EE1AE6C}" name="Colonne1" dataDxfId="183" totalsRowDxfId="182"/>
    <tableColumn id="2" xr3:uid="{9B680780-DB7D-48B7-AA22-1B600F60E235}" name="Colonne2" dataDxfId="181" totalsRowDxfId="180"/>
    <tableColumn id="3" xr3:uid="{D455B63B-0A49-43C3-B2B3-07ACD84B6E86}" name="Colonne3" dataDxfId="179" totalsRowDxfId="178"/>
    <tableColumn id="4" xr3:uid="{B8C1274B-E55D-4FC0-A4D3-9DA6B944263D}" name="Colonne4" dataDxfId="177" totalsRowDxfId="176"/>
    <tableColumn id="5" xr3:uid="{360435DC-EC74-4AA4-B86E-7B2BE232C6DF}" name="Colonne5" totalsRowFunction="custom" dataDxfId="175" totalsRowDxfId="174">
      <totalsRowFormula>SUM(Tableau4101213111420[Colonne5])</totalsRowFormula>
    </tableColumn>
    <tableColumn id="6" xr3:uid="{C071A308-280E-44D7-969F-8B81FA52ECC1}" name="Colonne6" dataDxfId="173" totalsRowDxfId="172"/>
    <tableColumn id="7" xr3:uid="{DE847659-3867-4BFF-920A-D6EE8CCA7389}" name="Colonne7" dataDxfId="171" totalsRowDxfId="170"/>
    <tableColumn id="8" xr3:uid="{58F97EF2-C744-4C47-B2D6-B17A6FE6C66D}" name="Colonne8" dataDxfId="169" totalsRowDxfId="168"/>
    <tableColumn id="9" xr3:uid="{B8FF5FCD-DE1C-40D7-8E79-FA0C8D20A53E}" name="Colonne9" dataDxfId="167" totalsRowDxfId="166"/>
  </tableColumns>
  <tableStyleInfo name="TableStyleMedium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9B6AB33-100B-433D-988C-D5360011C280}" name="Tableau149116121521" displayName="Tableau149116121521" ref="A1:I20" totalsRowCount="1" headerRowDxfId="165" dataDxfId="164">
  <autoFilter ref="A1:I19" xr:uid="{39C95050-DAAF-4ED7-A11D-1682D4220428}"/>
  <tableColumns count="9">
    <tableColumn id="1" xr3:uid="{D98CEC8F-B237-48EE-A4CF-1775B54E35B7}" name="Date"/>
    <tableColumn id="2" xr3:uid="{E2FD68B7-9406-4BF0-9B92-05910BC8F3E7}" name="Mois" dataDxfId="163" totalsRowDxfId="162"/>
    <tableColumn id="3" xr3:uid="{FFCED5DD-21DB-43ED-AB06-9360210A3CAE}" name="Véhicule" dataDxfId="161" totalsRowDxfId="160"/>
    <tableColumn id="4" xr3:uid="{373B6E8D-8332-41B3-93CF-1976EB42C96C}" name="Entreprise" dataDxfId="159" totalsRowDxfId="158"/>
    <tableColumn id="5" xr3:uid="{EAC88DF4-D0CC-48E2-BBA7-C28F189FE7E0}" name="Montant (FCFA)" totalsRowFunction="custom" dataDxfId="157" totalsRowDxfId="156">
      <totalsRowFormula>SUM(E11:E17)</totalsRowFormula>
    </tableColumn>
    <tableColumn id="10" xr3:uid="{C772E7A0-F811-4C51-AB4D-D804AA1E05EC}" name="Carburant (FCFA)" dataDxfId="155" totalsRowDxfId="154"/>
    <tableColumn id="6" xr3:uid="{1C7D1B42-1A56-456F-A8EC-08986B90C929}" name="Mode de paiement" dataDxfId="153" totalsRowDxfId="152"/>
    <tableColumn id="11" xr3:uid="{4590FB41-D20A-4597-94CF-037C2AED3AC8}" name="recharge yango &amp; Unités" dataDxfId="151" totalsRowDxfId="150"/>
    <tableColumn id="12" xr3:uid="{C1C5BC54-8804-4A6D-AD59-6FCF4EA5452F}" name="unités" dataDxfId="149" totalsRowDxfId="148"/>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8C41AC8-5F86-499B-8B05-63D5D9142EC1}" name="Tableau41012131114202224" displayName="Tableau41012131114202224" ref="A21:I29" totalsRowCount="1" headerRowDxfId="147" dataDxfId="146">
  <autoFilter ref="A21:I28" xr:uid="{5D251BBA-EDAB-485F-8F10-4C3417E523E3}"/>
  <tableColumns count="9">
    <tableColumn id="1" xr3:uid="{79409662-377C-4F3D-BA8E-4D7B1F7E00D9}" name="Colonne1" dataDxfId="145" totalsRowDxfId="144"/>
    <tableColumn id="2" xr3:uid="{42A047F6-3472-4659-ACE1-9E5F16BB75C6}" name="Colonne2" dataDxfId="143" totalsRowDxfId="142"/>
    <tableColumn id="3" xr3:uid="{2F9E4BDB-46D7-431C-B2CA-EBDD02930847}" name="Colonne3" dataDxfId="141" totalsRowDxfId="140"/>
    <tableColumn id="4" xr3:uid="{36043444-BE6B-4766-8B08-F3C3D710D4FA}" name="Colonne4" dataDxfId="139" totalsRowDxfId="138"/>
    <tableColumn id="5" xr3:uid="{99DFDE79-B023-4088-84C3-2A857060F8A2}" name="Colonne5" totalsRowFunction="custom" dataDxfId="137" totalsRowDxfId="136">
      <totalsRowFormula>SUM(Tableau41012131114202224[Colonne5])</totalsRowFormula>
    </tableColumn>
    <tableColumn id="6" xr3:uid="{1096C05A-A52D-4D8B-A492-CAA4D9E3193F}" name="Colonne6" dataDxfId="135" totalsRowDxfId="134"/>
    <tableColumn id="7" xr3:uid="{ED356192-2C02-4B00-8D03-5C4EA3B9E095}" name="Colonne7" dataDxfId="133" totalsRowDxfId="132"/>
    <tableColumn id="8" xr3:uid="{9B8EAE8B-9FF0-4DFF-9255-C426A750C643}" name="Colonne8" dataDxfId="131" totalsRowDxfId="130"/>
    <tableColumn id="9" xr3:uid="{44CFEAD4-52C0-4AF6-8268-B8411F6CDE5F}" name="Colonne9" dataDxfId="129" totalsRowDxfId="128"/>
  </tableColumns>
  <tableStyleInfo name="TableStyleMedium1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850371F-4B34-4A94-BED1-8A792BE7E4B3}" name="Tableau1491161215212325" displayName="Tableau1491161215212325" ref="A1:I19" totalsRowCount="1" headerRowDxfId="127" dataDxfId="126">
  <autoFilter ref="A1:I18" xr:uid="{39C95050-DAAF-4ED7-A11D-1682D4220428}"/>
  <tableColumns count="9">
    <tableColumn id="1" xr3:uid="{6EEAD802-88B5-4E82-8B6F-78CF9DC7188E}" name="Date"/>
    <tableColumn id="2" xr3:uid="{78EC8B2C-4531-4E59-9D02-CEC1634C09C8}" name="Mois" dataDxfId="125" totalsRowDxfId="124"/>
    <tableColumn id="3" xr3:uid="{CF4A3C0E-FB95-4AD7-B677-923ABC567BD1}" name="Véhicule" dataDxfId="123" totalsRowDxfId="122"/>
    <tableColumn id="4" xr3:uid="{390FE42F-31D2-4B91-A79E-9D55E02A372C}" name="Entreprise" dataDxfId="121" totalsRowDxfId="120"/>
    <tableColumn id="5" xr3:uid="{9ADDA049-C826-4C64-9EDD-88F7986AC11C}" name="Montant (FCFA)" totalsRowFunction="custom" dataDxfId="119" totalsRowDxfId="118">
      <totalsRowFormula>SUM(E9:E16)</totalsRowFormula>
    </tableColumn>
    <tableColumn id="10" xr3:uid="{96A6358E-3458-4142-9E7D-F7BF71A41893}" name="Carburant (FCFA)" totalsRowLabel="120 000 CFA" dataDxfId="117" totalsRowDxfId="116"/>
    <tableColumn id="6" xr3:uid="{59EA635B-DF65-47BA-894F-0F6B6357CE01}" name="Mode de paiement" dataDxfId="115" totalsRowDxfId="114"/>
    <tableColumn id="11" xr3:uid="{E3E03DE8-CBD3-4E39-9DBB-323C2F0BB844}" name="recharge yango &amp; Unités" dataDxfId="113" totalsRowDxfId="112"/>
    <tableColumn id="12" xr3:uid="{23DE20F7-34F5-4B0D-9C7C-41A38EA3D015}" name="unités" dataDxfId="111" totalsRowDxfId="110"/>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5C71E2F-84D1-4637-AFF6-28E7BD4F4B63}" name="Tableau4101213111420222426" displayName="Tableau4101213111420222426" ref="A20:I28" totalsRowCount="1" headerRowDxfId="109" dataDxfId="108">
  <autoFilter ref="A20:I27" xr:uid="{5D251BBA-EDAB-485F-8F10-4C3417E523E3}"/>
  <tableColumns count="9">
    <tableColumn id="1" xr3:uid="{2AA72109-1128-4DA3-B50A-71A538E51799}" name="Colonne1" dataDxfId="107" totalsRowDxfId="106"/>
    <tableColumn id="2" xr3:uid="{E46B7D8A-7586-432E-B94D-9859C25B50FD}" name="Colonne2" dataDxfId="105" totalsRowDxfId="104"/>
    <tableColumn id="3" xr3:uid="{A87B9DC1-C41C-47F1-BDB1-32415875F000}" name="Colonne3" dataDxfId="103" totalsRowDxfId="102"/>
    <tableColumn id="4" xr3:uid="{FA2A3B42-984E-4D9F-A5E3-BCE52C94CB8F}" name="Colonne4" dataDxfId="101" totalsRowDxfId="100"/>
    <tableColumn id="5" xr3:uid="{FE1B194A-2CCC-4E75-B927-8BA93843C223}" name="Colonne5" totalsRowFunction="custom" dataDxfId="99" totalsRowDxfId="98">
      <totalsRowFormula>SUM(Tableau4101213111420222426[Colonne5])</totalsRowFormula>
    </tableColumn>
    <tableColumn id="6" xr3:uid="{7A0FAE21-F221-46A7-A3D4-FD0CEDBCC835}" name="Colonne6" dataDxfId="97" totalsRowDxfId="96"/>
    <tableColumn id="7" xr3:uid="{88D33316-ABDD-4FFA-A7DD-75AE4A1A3EE6}" name="Colonne7" dataDxfId="95" totalsRowDxfId="94"/>
    <tableColumn id="8" xr3:uid="{8A091DA0-33A4-4B23-BD4E-0DB9F511460A}" name="Colonne8" dataDxfId="93" totalsRowDxfId="92"/>
    <tableColumn id="9" xr3:uid="{60CAD7B2-CDCF-4FB8-8AFF-5E683F2B0188}" name="Colonne9" dataDxfId="91" totalsRowDxfId="90"/>
  </tableColumns>
  <tableStyleInfo name="TableStyleMedium1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5251AAE-0C1A-45C9-BB9E-7B3002723692}" name="Tableau149116121521232527" displayName="Tableau149116121521232527" ref="A1:H18" totalsRowCount="1" headerRowDxfId="89" dataDxfId="88">
  <autoFilter ref="A1:H17" xr:uid="{39C95050-DAAF-4ED7-A11D-1682D4220428}"/>
  <tableColumns count="8">
    <tableColumn id="1" xr3:uid="{E87CA772-9AAB-4B42-B50D-6F601D77BF9F}" name="Date"/>
    <tableColumn id="2" xr3:uid="{2F3F158D-21A8-44E9-AE4A-510E77084864}" name="Mois" dataDxfId="87" totalsRowDxfId="86"/>
    <tableColumn id="3" xr3:uid="{25939DBD-DC4D-4AE6-BAD3-2E83400A43C4}" name="Véhicule" dataDxfId="85" totalsRowDxfId="84"/>
    <tableColumn id="4" xr3:uid="{70D057C9-2B70-46D5-B807-24F7E0344D49}" name="Entreprise" dataDxfId="83" totalsRowDxfId="82"/>
    <tableColumn id="5" xr3:uid="{74D67F13-787B-4C8E-8DDC-4405944B4FCE}" name="Montant (FCFA)" totalsRowFunction="custom" dataDxfId="81" totalsRowDxfId="80">
      <totalsRowFormula>SUM(E11:E17)</totalsRowFormula>
    </tableColumn>
    <tableColumn id="10" xr3:uid="{CD3D468D-E840-4D84-B810-4023E6BA79AC}" name="Carburant (FCFA)" dataDxfId="79" totalsRowDxfId="78"/>
    <tableColumn id="6" xr3:uid="{DFEF25B3-A528-4B4A-AE64-8BD6EB70DA20}" name="Mode de paiement" dataDxfId="77" totalsRowDxfId="76"/>
    <tableColumn id="11" xr3:uid="{263C1856-4CD3-4F60-8C21-7DCD04641AAB}" name="recharge yango &amp; Unités" dataDxfId="75" totalsRowDxfId="74"/>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86E0907-BE31-46CE-A3FE-E908EB82886B}" name="Tableau410121311142022242622" displayName="Tableau410121311142022242622" ref="A20:I28" totalsRowCount="1" headerRowDxfId="73" dataDxfId="72">
  <autoFilter ref="A20:I27" xr:uid="{5D251BBA-EDAB-485F-8F10-4C3417E523E3}"/>
  <tableColumns count="9">
    <tableColumn id="1" xr3:uid="{B69137E0-8CBD-48D8-B9DB-BAC4C95694C8}" name="Colonne1" dataDxfId="71" totalsRowDxfId="70"/>
    <tableColumn id="2" xr3:uid="{ECEB7591-202F-4EAC-9AA2-6C503F60001F}" name="Colonne2" dataDxfId="69" totalsRowDxfId="68"/>
    <tableColumn id="3" xr3:uid="{F8F7B584-8472-4393-AF1F-8E33C4F68974}" name="Colonne3" dataDxfId="67" totalsRowDxfId="66"/>
    <tableColumn id="4" xr3:uid="{BE5A8748-F331-4EE3-B9C0-7364FE0DA20C}" name="Colonne4" dataDxfId="65" totalsRowDxfId="64"/>
    <tableColumn id="5" xr3:uid="{2B3DF700-ABE3-4C0B-9044-B014A406F60A}" name="Colonne5" dataDxfId="63" totalsRowDxfId="62"/>
    <tableColumn id="6" xr3:uid="{5C0A0379-FE74-4909-8557-FDD291C8E3DE}" name="Colonne6" dataDxfId="61" totalsRowDxfId="60"/>
    <tableColumn id="7" xr3:uid="{F55C86A9-B5E5-4623-8CD7-92FD859AA76F}" name="Colonne7" dataDxfId="59" totalsRowDxfId="58"/>
    <tableColumn id="8" xr3:uid="{386D18FD-00A8-4EBD-BF12-C17C3A683376}" name="Colonne8" dataDxfId="57" totalsRowDxfId="56"/>
    <tableColumn id="9" xr3:uid="{F4DE7E29-F3FF-46DB-8C2A-C956C0175EF7}" name="Colonne9" dataDxfId="55" totalsRowDxfId="54"/>
  </tableColumns>
  <tableStyleInfo name="TableStyleMedium1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C7EEA18-5F26-42F7-9537-537F062B9A40}" name="Tableau14911612152123252723" displayName="Tableau14911612152123252723" ref="A1:H18" totalsRowCount="1" headerRowDxfId="53" dataDxfId="52">
  <autoFilter ref="A1:H17" xr:uid="{39C95050-DAAF-4ED7-A11D-1682D4220428}"/>
  <tableColumns count="8">
    <tableColumn id="1" xr3:uid="{01887E25-8536-4C20-9D54-68AF0139F691}" name="Date"/>
    <tableColumn id="2" xr3:uid="{330832A9-6223-4B72-A7F2-59B91B40081B}" name="Mois" dataDxfId="51" totalsRowDxfId="50"/>
    <tableColumn id="3" xr3:uid="{69E0D5D8-75A6-4B6C-BC12-ED055A6FC6BB}" name="Véhicule" dataDxfId="49" totalsRowDxfId="48"/>
    <tableColumn id="4" xr3:uid="{719207F4-F73A-4364-8730-3BB6E2F3A9B2}" name="Entreprise" dataDxfId="47" totalsRowDxfId="46"/>
    <tableColumn id="5" xr3:uid="{89BF63C3-C76D-4172-A72F-1EF4468A4281}" name="Montant (FCFA)" dataDxfId="45" totalsRowDxfId="44"/>
    <tableColumn id="10" xr3:uid="{1E457726-68BB-49D0-82D0-DD66017608B8}" name="Carburant (FCFA)" dataDxfId="43" totalsRowDxfId="42"/>
    <tableColumn id="6" xr3:uid="{54C96D10-5E02-48F7-AA4A-E0441439B293}" name="Mode de paiement" dataDxfId="41" totalsRowDxfId="40"/>
    <tableColumn id="11" xr3:uid="{E7292C31-9B85-466C-B0E7-A91168A72E4A}" name="recharge yango &amp; Unités" dataDxfId="39" totalsRowDxfId="38"/>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44E2006-2AB6-4E90-86E1-6FED545C94A9}" name="Tableau41012131114202224262228" displayName="Tableau41012131114202224262228" ref="A20:I28" totalsRowCount="1" headerRowDxfId="487" dataDxfId="486">
  <autoFilter ref="A20:I27" xr:uid="{5D251BBA-EDAB-485F-8F10-4C3417E523E3}"/>
  <tableColumns count="9">
    <tableColumn id="1" xr3:uid="{868E7439-18E6-4E80-A456-0A017C36F2A0}" name="Colonne1" dataDxfId="485" totalsRowDxfId="484"/>
    <tableColumn id="2" xr3:uid="{A61A06C6-7541-42A1-B130-E8F934147208}" name="Colonne2" dataDxfId="483" totalsRowDxfId="482"/>
    <tableColumn id="3" xr3:uid="{25862545-539C-4E68-A88D-FAED4F2447E0}" name="Colonne3" dataDxfId="481" totalsRowDxfId="480"/>
    <tableColumn id="4" xr3:uid="{5830DED3-E291-442C-8DE2-75820CB06855}" name="Colonne4" dataDxfId="479" totalsRowDxfId="478"/>
    <tableColumn id="5" xr3:uid="{AAED4168-8F71-4B86-B433-0443E537D104}" name="Colonne5" dataDxfId="477" totalsRowDxfId="476"/>
    <tableColumn id="6" xr3:uid="{BE23B534-4663-4D89-B055-66A08416065F}" name="Colonne6" dataDxfId="475" totalsRowDxfId="474"/>
    <tableColumn id="7" xr3:uid="{8FF13280-BF20-4F91-9F53-F595FFD12D65}" name="Colonne7" dataDxfId="473" totalsRowDxfId="472"/>
    <tableColumn id="8" xr3:uid="{83D58667-CEE8-4421-8F36-74F7C3E320D6}" name="Colonne8" dataDxfId="471" totalsRowDxfId="470"/>
    <tableColumn id="9" xr3:uid="{FFAAAFE4-6CDB-43B3-BA34-424D3BFE2078}" name="Colonne9" dataDxfId="469" totalsRowDxfId="468"/>
  </tableColumns>
  <tableStyleInfo name="TableStyleMedium14"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49C69B0-F193-40E9-A09B-AA42EE28C2E7}" name="Tableau1491161215212325272329" displayName="Tableau1491161215212325272329" ref="A1:H18" totalsRowCount="1" headerRowDxfId="467" dataDxfId="466">
  <autoFilter ref="A1:H17" xr:uid="{39C95050-DAAF-4ED7-A11D-1682D4220428}"/>
  <tableColumns count="8">
    <tableColumn id="1" xr3:uid="{CDD969B0-0EC9-4945-B824-1BEF3FF98610}" name="Date"/>
    <tableColumn id="2" xr3:uid="{38AFCB05-61CC-4FE9-82FC-AE93F7A28930}" name="Mois" dataDxfId="465" totalsRowDxfId="464"/>
    <tableColumn id="3" xr3:uid="{5112918B-7945-4EC4-9E2D-8D334F0F74D6}" name="Véhicule" dataDxfId="463" totalsRowDxfId="462"/>
    <tableColumn id="4" xr3:uid="{811D0DB3-B5E0-42F0-8EC0-77B39F5D53A8}" name="Entreprise" dataDxfId="461" totalsRowDxfId="460"/>
    <tableColumn id="5" xr3:uid="{9F74C264-A39B-4B9C-B81C-758355665595}" name="Montant (FCFA)" dataDxfId="459" totalsRowDxfId="458"/>
    <tableColumn id="10" xr3:uid="{69B492F2-92A5-49A1-8127-EBB66E2D527C}" name="Carburant (FCFA)" dataDxfId="457" totalsRowDxfId="456"/>
    <tableColumn id="6" xr3:uid="{561353F0-5A3F-4624-ADEF-BF6142915CFE}" name="Mode de paiement" dataDxfId="455" totalsRowDxfId="454"/>
    <tableColumn id="11" xr3:uid="{84B05B9C-4E7A-4BB5-8FF0-E5D24D16FCB1}" name="recharge yango &amp; Unités" dataDxfId="453" totalsRowDxfId="452"/>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C95050-DAAF-4ED7-A11D-1682D4220428}" name="Tableau1" displayName="Tableau1" ref="A1:H17" totalsRowCount="1" headerRowDxfId="37" dataDxfId="36" totalsRowDxfId="35">
  <autoFilter ref="A1:H16" xr:uid="{39C95050-DAAF-4ED7-A11D-1682D4220428}"/>
  <tableColumns count="8">
    <tableColumn id="1" xr3:uid="{30B02225-1EAF-4580-B3EB-AE1F599BFEE2}" name="Date" dataDxfId="34" totalsRowDxfId="33"/>
    <tableColumn id="2" xr3:uid="{F1FF34A4-5B70-49B8-82F1-016A3E6776E6}" name="Mois" dataDxfId="32" totalsRowDxfId="6"/>
    <tableColumn id="3" xr3:uid="{CE682721-311F-4EA6-89E8-19FB31A19C2E}" name="Véhicule" dataDxfId="31" totalsRowDxfId="5"/>
    <tableColumn id="4" xr3:uid="{D7ED8A49-F46E-4357-91F4-F13E4A8B5908}" name="Entreprise" dataDxfId="30" totalsRowDxfId="4"/>
    <tableColumn id="5" xr3:uid="{B8D8BAD8-C183-4CD6-B43B-E30419D50BD0}" name="Montant (FCFA)" dataDxfId="29" totalsRowDxfId="3"/>
    <tableColumn id="6" xr3:uid="{E770E086-8066-444E-9222-82FE1AA7D51E}" name="Mode de paiement" dataDxfId="28" totalsRowDxfId="2"/>
    <tableColumn id="7" xr3:uid="{C6BF706F-A089-4223-A9CF-28F1DF22967F}" name="Observation" dataDxfId="27" totalsRowDxfId="1"/>
    <tableColumn id="8" xr3:uid="{C53626C8-055C-4B6F-AB6D-4F6D9C5A98C1}" name="Total" totalsRowFunction="custom" dataDxfId="26" totalsRowDxfId="0">
      <calculatedColumnFormula>SUM(Tableau1[[#This Row],[Montant (FCFA)]])</calculatedColumnFormula>
      <totalsRowFormula>SUM(H6:H16)</totalsRowFormula>
    </tableColumn>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05B2EE-09DA-47F6-87BE-888D9B051B87}" name="Tableau2" displayName="Tableau2" ref="A1:F21" totalsRowShown="0" headerRowDxfId="25" dataDxfId="24">
  <autoFilter ref="A1:F21" xr:uid="{FE05B2EE-09DA-47F6-87BE-888D9B051B87}"/>
  <tableColumns count="6">
    <tableColumn id="1" xr3:uid="{561FE191-8C23-4131-9C4D-00779E2B6F29}" name="Date" dataDxfId="23"/>
    <tableColumn id="6" xr3:uid="{688F3769-61EF-4C22-8691-A6F480A8AE6E}" name="Date du verssement" dataDxfId="22"/>
    <tableColumn id="2" xr3:uid="{E020D209-D84D-4E56-9BFA-39427110989F}" name="Mois" dataDxfId="21"/>
    <tableColumn id="3" xr3:uid="{D566B83A-8CF7-4784-A1AC-4FA9E5AB3411}" name="Type de dépense" dataDxfId="20"/>
    <tableColumn id="4" xr3:uid="{DA4F6F18-BF26-47E9-B891-5AFE3A53EE6C}" name="Montant (FCFA)" dataDxfId="19"/>
    <tableColumn id="5" xr3:uid="{C0C29C97-9DF3-458A-8B1C-E1FC38177644}" name="Description" dataDxfId="18"/>
  </tableColumns>
  <tableStyleInfo name="TableStyleLight2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1245EBE-141F-40C7-A32C-86C2AA51C99D}" name="Tableau219" displayName="Tableau219" ref="A1:E19" totalsRowShown="0" headerRowDxfId="17" dataDxfId="16">
  <autoFilter ref="A1:E19" xr:uid="{FE05B2EE-09DA-47F6-87BE-888D9B051B87}"/>
  <tableColumns count="5">
    <tableColumn id="6" xr3:uid="{32BC817F-5337-462D-A15F-D6FC57EB4BDA}" name="Date du verssement" dataDxfId="15"/>
    <tableColumn id="2" xr3:uid="{2D6AFD88-02D1-48B9-AABD-C93650D77AAD}" name="Mois" dataDxfId="14"/>
    <tableColumn id="3" xr3:uid="{A40D022E-3A63-494F-B925-7A6EAA1782D1}" name="Type de dépense" dataDxfId="13"/>
    <tableColumn id="4" xr3:uid="{F297F0F4-E4AE-4785-A6DF-3D3CD33F746C}" name="Montant (FCFA)" dataDxfId="12"/>
    <tableColumn id="5" xr3:uid="{919FA0D9-E9A5-41ED-97A6-C3CAA574559C}" name="Description" dataDxfId="11"/>
  </tableColumns>
  <tableStyleInfo name="TableStyleLight2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22C6E96-A3AF-48A6-9DB7-79AABECCDBE0}" name="Tableau17" displayName="Tableau17" ref="A1:I37" totalsRowShown="0" headerRowDxfId="10">
  <autoFilter ref="A1:I37" xr:uid="{D22C6E96-A3AF-48A6-9DB7-79AABECCDBE0}"/>
  <tableColumns count="9">
    <tableColumn id="1" xr3:uid="{5CD8BF2B-DFDA-4425-A19D-8A184350A2DE}" name="N°"/>
    <tableColumn id="2" xr3:uid="{4044A623-F131-4785-AC32-A69500ECF6A6}" name="Date échéance"/>
    <tableColumn id="3" xr3:uid="{A0F16CEE-62EC-4E74-BC83-5D731158BAC1}" name="Mensualité prévue" dataDxfId="9"/>
    <tableColumn id="4" xr3:uid="{6D854FF6-F6C8-4F4C-B64E-A1D34AAE250C}" name="Montant payé" dataDxfId="8"/>
    <tableColumn id="5" xr3:uid="{58CDB5C6-A35C-4485-9264-2C7505E5294C}" name="Écart" dataDxfId="7">
      <calculatedColumnFormula>D2-C2</calculatedColumnFormula>
    </tableColumn>
    <tableColumn id="6" xr3:uid="{062006D7-ACFE-4824-AD17-2F863701C528}" name="Date paiement"/>
    <tableColumn id="7" xr3:uid="{9A293E22-954C-49B1-96C0-262787F87371}" name="Mode de paiement"/>
    <tableColumn id="9" xr3:uid="{551161B9-B778-4EF3-891C-2F25BE80C174}" name="Capital restant réel"/>
    <tableColumn id="10" xr3:uid="{CEAF7DC6-3A4D-4CB9-928B-73C9B98B1BF8}" name="Observatio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26684-631B-4E5E-B6A4-FC616DDD017D}">
  <sheetPr codeName="Feuil1"/>
  <dimension ref="A1:L52"/>
  <sheetViews>
    <sheetView topLeftCell="A19" zoomScale="78" zoomScaleNormal="115" workbookViewId="0">
      <selection activeCell="L20" sqref="L20"/>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8.1796875" customWidth="1"/>
    <col min="6" max="6" width="16.6328125" customWidth="1"/>
    <col min="7" max="7" width="14.54296875" customWidth="1"/>
    <col min="8" max="8" width="18.453125" customWidth="1"/>
    <col min="9" max="9" width="16.26953125" customWidth="1"/>
    <col min="11" max="11" width="24.26953125" customWidth="1"/>
    <col min="12" max="12" width="11.26953125" customWidth="1"/>
  </cols>
  <sheetData>
    <row r="1" spans="1:12" x14ac:dyDescent="0.35">
      <c r="A1" s="1" t="s">
        <v>0</v>
      </c>
      <c r="B1" s="1" t="s">
        <v>8</v>
      </c>
      <c r="C1" s="3" t="s">
        <v>1</v>
      </c>
      <c r="D1" s="1" t="s">
        <v>12</v>
      </c>
      <c r="E1" s="1" t="s">
        <v>2</v>
      </c>
      <c r="F1" t="s">
        <v>17</v>
      </c>
      <c r="G1" s="1" t="s">
        <v>3</v>
      </c>
      <c r="H1" s="1" t="s">
        <v>19</v>
      </c>
      <c r="I1" s="1" t="s">
        <v>20</v>
      </c>
    </row>
    <row r="2" spans="1:12" x14ac:dyDescent="0.35">
      <c r="A2" s="2">
        <v>45937</v>
      </c>
      <c r="B2" s="1" t="s">
        <v>14</v>
      </c>
      <c r="C2" s="3" t="s">
        <v>15</v>
      </c>
      <c r="D2" s="1" t="s">
        <v>10</v>
      </c>
      <c r="E2" s="1">
        <v>10000</v>
      </c>
      <c r="F2" s="1"/>
      <c r="G2" s="1" t="s">
        <v>16</v>
      </c>
      <c r="H2" s="1">
        <v>31000</v>
      </c>
      <c r="I2" s="1">
        <v>5000</v>
      </c>
    </row>
    <row r="3" spans="1:12" x14ac:dyDescent="0.35">
      <c r="A3" s="2">
        <v>45938</v>
      </c>
      <c r="B3" s="1" t="s">
        <v>14</v>
      </c>
      <c r="C3" s="3" t="s">
        <v>15</v>
      </c>
      <c r="D3" s="1" t="s">
        <v>10</v>
      </c>
      <c r="E3" s="1">
        <v>26000</v>
      </c>
      <c r="F3" s="1">
        <v>5000</v>
      </c>
      <c r="G3" s="1" t="s">
        <v>16</v>
      </c>
      <c r="H3" s="1"/>
      <c r="I3" s="1"/>
    </row>
    <row r="4" spans="1:12" ht="15" thickBot="1" x14ac:dyDescent="0.4">
      <c r="A4" s="2">
        <v>45939</v>
      </c>
      <c r="B4" s="1" t="s">
        <v>14</v>
      </c>
      <c r="C4" s="3" t="s">
        <v>15</v>
      </c>
      <c r="D4" s="1" t="s">
        <v>10</v>
      </c>
      <c r="E4" s="1">
        <v>34000</v>
      </c>
      <c r="F4" s="1">
        <v>5000</v>
      </c>
      <c r="G4" s="1" t="s">
        <v>16</v>
      </c>
      <c r="H4" s="1"/>
      <c r="I4" s="1"/>
    </row>
    <row r="5" spans="1:12" x14ac:dyDescent="0.35">
      <c r="A5" s="2">
        <v>45940</v>
      </c>
      <c r="B5" s="1" t="s">
        <v>14</v>
      </c>
      <c r="C5" s="3" t="s">
        <v>15</v>
      </c>
      <c r="D5" s="1" t="s">
        <v>10</v>
      </c>
      <c r="E5" s="1">
        <v>36000</v>
      </c>
      <c r="F5" s="1">
        <v>25000</v>
      </c>
      <c r="G5" s="1" t="s">
        <v>16</v>
      </c>
      <c r="H5" s="1"/>
      <c r="I5" s="1"/>
      <c r="K5" s="149" t="s">
        <v>45</v>
      </c>
      <c r="L5" s="150"/>
    </row>
    <row r="6" spans="1:12" x14ac:dyDescent="0.35">
      <c r="E6" s="5">
        <f>SUM(E2:E5)</f>
        <v>106000</v>
      </c>
      <c r="F6" s="5">
        <f>SUM(F2:F5)</f>
        <v>35000</v>
      </c>
      <c r="K6" s="151"/>
      <c r="L6" s="152"/>
    </row>
    <row r="7" spans="1:12" x14ac:dyDescent="0.35">
      <c r="A7" s="2"/>
      <c r="B7" s="1"/>
      <c r="C7" s="3"/>
      <c r="D7" s="1"/>
      <c r="E7" s="1"/>
      <c r="F7" s="1"/>
      <c r="G7" s="1"/>
      <c r="H7" s="1"/>
      <c r="I7" s="1"/>
      <c r="K7" s="151"/>
      <c r="L7" s="152"/>
    </row>
    <row r="8" spans="1:12" x14ac:dyDescent="0.35">
      <c r="A8" s="2">
        <v>45941</v>
      </c>
      <c r="B8" s="1" t="s">
        <v>14</v>
      </c>
      <c r="C8" s="3" t="s">
        <v>15</v>
      </c>
      <c r="D8" s="1" t="s">
        <v>10</v>
      </c>
      <c r="E8" s="1">
        <v>45000</v>
      </c>
      <c r="F8" s="1">
        <v>10000</v>
      </c>
      <c r="G8" s="1" t="s">
        <v>16</v>
      </c>
      <c r="H8" s="1">
        <v>42000</v>
      </c>
      <c r="I8" s="1"/>
      <c r="K8" s="151"/>
      <c r="L8" s="152"/>
    </row>
    <row r="9" spans="1:12" x14ac:dyDescent="0.35">
      <c r="A9" s="2" t="s">
        <v>18</v>
      </c>
      <c r="B9" s="1"/>
      <c r="C9" s="3"/>
      <c r="D9" s="1"/>
      <c r="E9" s="1"/>
      <c r="F9" s="1"/>
      <c r="G9" s="1"/>
      <c r="H9" s="1"/>
      <c r="I9" s="1"/>
      <c r="K9" s="157">
        <f>SUM(C17+C29+C36+C45)</f>
        <v>680000</v>
      </c>
      <c r="L9" s="158"/>
    </row>
    <row r="10" spans="1:12" ht="15" thickBot="1" x14ac:dyDescent="0.4">
      <c r="A10" s="2">
        <v>45943</v>
      </c>
      <c r="B10" s="1" t="s">
        <v>14</v>
      </c>
      <c r="C10" s="3" t="s">
        <v>15</v>
      </c>
      <c r="D10" s="1" t="s">
        <v>10</v>
      </c>
      <c r="E10" s="1">
        <v>23500</v>
      </c>
      <c r="F10" s="1">
        <v>10000</v>
      </c>
      <c r="G10" s="1" t="s">
        <v>16</v>
      </c>
      <c r="H10" s="1"/>
      <c r="I10" s="1"/>
      <c r="K10" s="159"/>
      <c r="L10" s="160"/>
    </row>
    <row r="11" spans="1:12" x14ac:dyDescent="0.35">
      <c r="A11" s="2">
        <v>45944</v>
      </c>
      <c r="B11" s="1" t="s">
        <v>14</v>
      </c>
      <c r="C11" s="3" t="s">
        <v>15</v>
      </c>
      <c r="D11" s="1" t="s">
        <v>10</v>
      </c>
      <c r="E11" s="1">
        <v>25000</v>
      </c>
      <c r="F11" s="1"/>
      <c r="G11" s="1" t="s">
        <v>16</v>
      </c>
      <c r="H11" s="1"/>
      <c r="I11" s="1"/>
    </row>
    <row r="12" spans="1:12" x14ac:dyDescent="0.35">
      <c r="A12" s="2">
        <v>45945</v>
      </c>
      <c r="B12" s="1" t="s">
        <v>14</v>
      </c>
      <c r="C12" s="3" t="s">
        <v>15</v>
      </c>
      <c r="D12" s="1" t="s">
        <v>10</v>
      </c>
      <c r="E12" s="1">
        <v>24000</v>
      </c>
      <c r="F12" s="1">
        <v>5000</v>
      </c>
      <c r="G12" s="1" t="s">
        <v>16</v>
      </c>
      <c r="H12" s="1"/>
      <c r="I12" s="1"/>
    </row>
    <row r="13" spans="1:12" x14ac:dyDescent="0.35">
      <c r="A13" s="2">
        <v>45946</v>
      </c>
      <c r="B13" s="1" t="s">
        <v>14</v>
      </c>
      <c r="C13" s="3" t="s">
        <v>15</v>
      </c>
      <c r="D13" s="1" t="s">
        <v>10</v>
      </c>
      <c r="E13" s="1">
        <v>25065</v>
      </c>
      <c r="F13" s="1">
        <v>5000</v>
      </c>
      <c r="G13" s="1" t="s">
        <v>16</v>
      </c>
      <c r="H13" s="1"/>
      <c r="I13" s="1"/>
    </row>
    <row r="14" spans="1:12" x14ac:dyDescent="0.35">
      <c r="A14" s="2">
        <v>45947</v>
      </c>
      <c r="B14" s="1" t="s">
        <v>14</v>
      </c>
      <c r="C14" s="3" t="s">
        <v>15</v>
      </c>
      <c r="D14" s="1" t="s">
        <v>10</v>
      </c>
      <c r="E14" s="1">
        <v>32000</v>
      </c>
      <c r="F14" s="1">
        <v>10000</v>
      </c>
      <c r="G14" s="1" t="s">
        <v>16</v>
      </c>
      <c r="H14" s="1"/>
      <c r="I14" s="1"/>
    </row>
    <row r="15" spans="1:12" x14ac:dyDescent="0.35">
      <c r="A15" s="2"/>
      <c r="B15" s="1"/>
      <c r="C15" s="3"/>
      <c r="D15" s="1"/>
      <c r="E15" s="1"/>
      <c r="F15" s="1"/>
      <c r="G15" s="1"/>
      <c r="H15" s="1"/>
      <c r="I15" s="1"/>
    </row>
    <row r="16" spans="1:12" x14ac:dyDescent="0.35">
      <c r="B16" s="1"/>
      <c r="C16" s="3"/>
      <c r="D16" s="1"/>
      <c r="E16" s="5">
        <f>SUM(E8:E14)</f>
        <v>174565</v>
      </c>
      <c r="F16" s="5">
        <f>SUM(F8:F14)</f>
        <v>40000</v>
      </c>
      <c r="G16" s="13"/>
      <c r="H16" s="5">
        <f>SUM(Tableau147[recharge yango])</f>
        <v>73000</v>
      </c>
      <c r="I16" s="1"/>
    </row>
    <row r="17" spans="1:9" x14ac:dyDescent="0.35">
      <c r="B17" s="1"/>
      <c r="C17" s="21">
        <v>250000</v>
      </c>
      <c r="D17" s="1"/>
      <c r="E17" s="13"/>
      <c r="F17" s="13"/>
      <c r="G17" s="1"/>
      <c r="H17" s="1"/>
      <c r="I17" s="1"/>
    </row>
    <row r="18" spans="1:9" x14ac:dyDescent="0.35">
      <c r="B18" s="1"/>
      <c r="C18" s="3"/>
      <c r="D18" s="1"/>
      <c r="E18" s="13"/>
      <c r="F18" s="13"/>
      <c r="G18" s="1"/>
      <c r="H18" s="1"/>
      <c r="I18" s="1"/>
    </row>
    <row r="19" spans="1:9" x14ac:dyDescent="0.35">
      <c r="B19" s="1"/>
      <c r="C19" s="3"/>
      <c r="D19" s="1"/>
      <c r="E19" s="13"/>
      <c r="F19" s="13"/>
      <c r="G19" s="1"/>
      <c r="H19" s="1"/>
      <c r="I19" s="1"/>
    </row>
    <row r="20" spans="1:9" x14ac:dyDescent="0.35">
      <c r="A20" s="2" t="s">
        <v>13</v>
      </c>
      <c r="B20" s="1" t="s">
        <v>23</v>
      </c>
      <c r="C20" s="3" t="s">
        <v>24</v>
      </c>
      <c r="D20" s="1" t="s">
        <v>25</v>
      </c>
      <c r="E20" s="1" t="s">
        <v>26</v>
      </c>
      <c r="F20" s="1" t="s">
        <v>27</v>
      </c>
      <c r="G20" s="1" t="s">
        <v>28</v>
      </c>
      <c r="H20" s="1" t="s">
        <v>29</v>
      </c>
      <c r="I20" s="1" t="s">
        <v>30</v>
      </c>
    </row>
    <row r="21" spans="1:9" x14ac:dyDescent="0.35">
      <c r="A21" s="2">
        <v>45948</v>
      </c>
      <c r="B21" s="1" t="s">
        <v>14</v>
      </c>
      <c r="C21" s="3" t="s">
        <v>15</v>
      </c>
      <c r="D21" s="1" t="s">
        <v>10</v>
      </c>
      <c r="E21" s="1">
        <v>52000</v>
      </c>
      <c r="F21" s="1"/>
      <c r="G21" s="1" t="s">
        <v>16</v>
      </c>
      <c r="H21" s="1"/>
      <c r="I21" s="1"/>
    </row>
    <row r="22" spans="1:9" x14ac:dyDescent="0.35">
      <c r="A22" s="2">
        <v>45949</v>
      </c>
      <c r="B22" s="1" t="s">
        <v>14</v>
      </c>
      <c r="C22" s="3" t="s">
        <v>15</v>
      </c>
      <c r="D22" s="1" t="s">
        <v>10</v>
      </c>
      <c r="E22" s="1">
        <v>3800</v>
      </c>
      <c r="F22" s="1">
        <v>15000</v>
      </c>
      <c r="G22" s="1" t="s">
        <v>16</v>
      </c>
      <c r="H22" s="1"/>
      <c r="I22" s="1"/>
    </row>
    <row r="23" spans="1:9" x14ac:dyDescent="0.35">
      <c r="A23" s="2">
        <v>45950</v>
      </c>
      <c r="B23" s="1" t="s">
        <v>14</v>
      </c>
      <c r="C23" s="3" t="s">
        <v>15</v>
      </c>
      <c r="D23" s="1" t="s">
        <v>10</v>
      </c>
      <c r="E23" s="1">
        <v>28000</v>
      </c>
      <c r="F23" s="1">
        <v>10000</v>
      </c>
      <c r="G23" s="1" t="s">
        <v>16</v>
      </c>
      <c r="H23" s="1"/>
      <c r="I23" s="1"/>
    </row>
    <row r="24" spans="1:9" x14ac:dyDescent="0.35">
      <c r="A24" s="2">
        <v>45951</v>
      </c>
      <c r="B24" s="1" t="s">
        <v>14</v>
      </c>
      <c r="C24" s="3" t="s">
        <v>15</v>
      </c>
      <c r="D24" s="1" t="s">
        <v>10</v>
      </c>
      <c r="E24" s="1">
        <v>25000</v>
      </c>
      <c r="F24" s="1"/>
      <c r="G24" s="1" t="s">
        <v>16</v>
      </c>
      <c r="H24" s="1"/>
      <c r="I24" s="1"/>
    </row>
    <row r="25" spans="1:9" x14ac:dyDescent="0.35">
      <c r="A25" s="2">
        <v>45952</v>
      </c>
      <c r="B25" s="1" t="s">
        <v>14</v>
      </c>
      <c r="C25" s="3" t="s">
        <v>15</v>
      </c>
      <c r="D25" s="1" t="s">
        <v>10</v>
      </c>
      <c r="E25" s="1">
        <v>13000</v>
      </c>
      <c r="F25" s="1">
        <v>10000</v>
      </c>
      <c r="G25" s="1" t="s">
        <v>16</v>
      </c>
      <c r="H25" s="19"/>
      <c r="I25" s="1"/>
    </row>
    <row r="26" spans="1:9" x14ac:dyDescent="0.35">
      <c r="A26" s="2">
        <v>45953</v>
      </c>
      <c r="B26" s="1" t="s">
        <v>14</v>
      </c>
      <c r="C26" s="3" t="s">
        <v>15</v>
      </c>
      <c r="D26" s="1" t="s">
        <v>10</v>
      </c>
      <c r="E26" s="1">
        <v>21000</v>
      </c>
      <c r="F26" s="1">
        <v>7000</v>
      </c>
      <c r="G26" s="1" t="s">
        <v>16</v>
      </c>
      <c r="H26" s="1"/>
      <c r="I26" s="1"/>
    </row>
    <row r="27" spans="1:9" x14ac:dyDescent="0.35">
      <c r="A27" s="2">
        <v>45954</v>
      </c>
      <c r="B27" s="1" t="s">
        <v>14</v>
      </c>
      <c r="C27" s="3" t="s">
        <v>15</v>
      </c>
      <c r="D27" s="1" t="s">
        <v>10</v>
      </c>
      <c r="E27" s="1">
        <v>29000</v>
      </c>
      <c r="F27" s="1">
        <v>20000</v>
      </c>
      <c r="G27" s="1" t="s">
        <v>16</v>
      </c>
      <c r="H27" s="1"/>
      <c r="I27" s="1"/>
    </row>
    <row r="28" spans="1:9" x14ac:dyDescent="0.35">
      <c r="A28" s="2"/>
      <c r="B28" s="1"/>
      <c r="C28" s="3"/>
      <c r="D28" s="1"/>
      <c r="E28" s="5">
        <f>SUM(E21:E27)</f>
        <v>171800</v>
      </c>
      <c r="F28" s="5">
        <f>SUM(Tableau48[Colonne6])</f>
        <v>62000</v>
      </c>
      <c r="G28" s="1"/>
      <c r="H28" s="18">
        <f>SUM(Tableau48[Colonne8])</f>
        <v>0</v>
      </c>
      <c r="I28" s="1"/>
    </row>
    <row r="29" spans="1:9" x14ac:dyDescent="0.35">
      <c r="C29" s="22">
        <v>175000</v>
      </c>
      <c r="D29" s="15"/>
      <c r="F29" s="14"/>
    </row>
    <row r="30" spans="1:9" x14ac:dyDescent="0.35">
      <c r="F30" s="6">
        <v>20000</v>
      </c>
    </row>
    <row r="31" spans="1:9" x14ac:dyDescent="0.35">
      <c r="A31" s="7">
        <v>45957</v>
      </c>
      <c r="B31" s="10" t="s">
        <v>14</v>
      </c>
      <c r="C31" s="11" t="s">
        <v>15</v>
      </c>
      <c r="D31" s="10" t="s">
        <v>10</v>
      </c>
      <c r="E31" s="10">
        <v>32000</v>
      </c>
      <c r="F31" s="6">
        <v>10000</v>
      </c>
      <c r="G31" s="10" t="s">
        <v>16</v>
      </c>
      <c r="H31" s="17">
        <v>50000</v>
      </c>
      <c r="I31" s="12"/>
    </row>
    <row r="32" spans="1:9" x14ac:dyDescent="0.35">
      <c r="A32" s="7">
        <v>45958</v>
      </c>
      <c r="B32" s="6" t="s">
        <v>14</v>
      </c>
      <c r="C32" s="8" t="s">
        <v>15</v>
      </c>
      <c r="D32" s="6" t="s">
        <v>10</v>
      </c>
      <c r="E32" s="6">
        <v>25000</v>
      </c>
      <c r="F32" s="6"/>
      <c r="G32" s="6" t="s">
        <v>16</v>
      </c>
      <c r="H32" s="6"/>
      <c r="I32" s="9"/>
    </row>
    <row r="33" spans="1:11" x14ac:dyDescent="0.35">
      <c r="A33" s="7">
        <v>45959</v>
      </c>
      <c r="B33" s="10" t="s">
        <v>14</v>
      </c>
      <c r="C33" s="11" t="s">
        <v>15</v>
      </c>
      <c r="D33" s="10" t="s">
        <v>10</v>
      </c>
      <c r="E33" s="10">
        <v>20200</v>
      </c>
      <c r="F33" s="10"/>
      <c r="G33" s="10" t="s">
        <v>16</v>
      </c>
      <c r="H33" s="10"/>
      <c r="I33" s="12"/>
    </row>
    <row r="34" spans="1:11" x14ac:dyDescent="0.35">
      <c r="A34" s="7">
        <v>45960</v>
      </c>
      <c r="B34" s="6" t="s">
        <v>14</v>
      </c>
      <c r="C34" s="8" t="s">
        <v>15</v>
      </c>
      <c r="D34" s="6" t="s">
        <v>10</v>
      </c>
      <c r="E34" s="6">
        <v>20000</v>
      </c>
      <c r="F34" s="6">
        <v>10000</v>
      </c>
      <c r="G34" s="6" t="s">
        <v>16</v>
      </c>
      <c r="H34" s="17"/>
      <c r="I34" s="9"/>
    </row>
    <row r="35" spans="1:11" x14ac:dyDescent="0.35">
      <c r="A35" s="7">
        <v>45961</v>
      </c>
      <c r="B35" s="10" t="s">
        <v>14</v>
      </c>
      <c r="C35" s="11" t="s">
        <v>15</v>
      </c>
      <c r="D35" s="10" t="s">
        <v>10</v>
      </c>
      <c r="E35" s="10">
        <v>25000</v>
      </c>
      <c r="F35" s="10">
        <v>10000</v>
      </c>
      <c r="G35" s="10" t="s">
        <v>16</v>
      </c>
      <c r="H35" s="10"/>
      <c r="I35" s="12"/>
    </row>
    <row r="36" spans="1:11" x14ac:dyDescent="0.35">
      <c r="C36" s="22">
        <v>125000</v>
      </c>
      <c r="E36" s="16">
        <f>SUM(E31:E35)</f>
        <v>122200</v>
      </c>
      <c r="F36" s="16">
        <f>SUM(F30:F35)</f>
        <v>50000</v>
      </c>
      <c r="H36" s="20">
        <f>SUM(H31:H35)</f>
        <v>50000</v>
      </c>
      <c r="K36" s="23" t="s">
        <v>42</v>
      </c>
    </row>
    <row r="38" spans="1:11" x14ac:dyDescent="0.35">
      <c r="A38" s="7">
        <v>45962</v>
      </c>
      <c r="B38" s="6" t="s">
        <v>36</v>
      </c>
      <c r="C38" s="11" t="s">
        <v>15</v>
      </c>
      <c r="D38" s="10" t="s">
        <v>10</v>
      </c>
      <c r="E38" s="10">
        <v>40000</v>
      </c>
      <c r="F38" s="6">
        <v>15000</v>
      </c>
      <c r="G38" s="10" t="s">
        <v>16</v>
      </c>
      <c r="H38" s="17"/>
      <c r="I38" s="12"/>
    </row>
    <row r="39" spans="1:11" x14ac:dyDescent="0.35">
      <c r="A39" s="7" t="s">
        <v>40</v>
      </c>
      <c r="B39" s="6" t="s">
        <v>36</v>
      </c>
      <c r="C39" s="8" t="s">
        <v>15</v>
      </c>
      <c r="D39" s="6" t="s">
        <v>10</v>
      </c>
      <c r="E39" s="20"/>
      <c r="F39" s="20"/>
      <c r="G39" s="25" t="s">
        <v>16</v>
      </c>
      <c r="H39" s="20"/>
      <c r="I39" s="24" t="s">
        <v>40</v>
      </c>
    </row>
    <row r="40" spans="1:11" x14ac:dyDescent="0.35">
      <c r="A40" s="7">
        <v>45964</v>
      </c>
      <c r="B40" s="6" t="s">
        <v>36</v>
      </c>
      <c r="C40" s="11" t="s">
        <v>15</v>
      </c>
      <c r="D40" s="10" t="s">
        <v>10</v>
      </c>
      <c r="E40" s="10">
        <v>25000</v>
      </c>
      <c r="F40" s="10"/>
      <c r="G40" s="10" t="s">
        <v>16</v>
      </c>
      <c r="H40" s="10"/>
      <c r="I40" s="12"/>
    </row>
    <row r="41" spans="1:11" x14ac:dyDescent="0.35">
      <c r="A41" s="7">
        <v>45965</v>
      </c>
      <c r="B41" s="6" t="s">
        <v>36</v>
      </c>
      <c r="C41" s="8" t="s">
        <v>15</v>
      </c>
      <c r="D41" s="6" t="s">
        <v>10</v>
      </c>
      <c r="E41" s="6">
        <v>19000</v>
      </c>
      <c r="F41" s="6">
        <v>10000</v>
      </c>
      <c r="G41" s="6" t="s">
        <v>16</v>
      </c>
      <c r="H41" s="17"/>
      <c r="I41" s="9"/>
    </row>
    <row r="42" spans="1:11" x14ac:dyDescent="0.35">
      <c r="A42" s="7">
        <v>45966</v>
      </c>
      <c r="B42" s="6" t="s">
        <v>36</v>
      </c>
      <c r="C42" s="11" t="s">
        <v>15</v>
      </c>
      <c r="D42" s="10" t="s">
        <v>10</v>
      </c>
      <c r="E42" s="10">
        <v>28000</v>
      </c>
      <c r="F42" s="10">
        <v>10000</v>
      </c>
      <c r="G42" s="10" t="s">
        <v>16</v>
      </c>
      <c r="H42" s="10"/>
      <c r="I42" s="12"/>
    </row>
    <row r="43" spans="1:11" x14ac:dyDescent="0.35">
      <c r="A43" s="7">
        <v>45967</v>
      </c>
      <c r="B43" s="6" t="s">
        <v>36</v>
      </c>
      <c r="C43" s="8" t="s">
        <v>15</v>
      </c>
      <c r="D43" s="6" t="s">
        <v>10</v>
      </c>
      <c r="E43" s="10">
        <v>30000</v>
      </c>
      <c r="F43" s="6">
        <v>10000</v>
      </c>
      <c r="G43" s="6" t="s">
        <v>16</v>
      </c>
      <c r="H43" s="6"/>
      <c r="I43" s="9"/>
    </row>
    <row r="44" spans="1:11" ht="15.5" x14ac:dyDescent="0.35">
      <c r="A44" s="7">
        <v>45968</v>
      </c>
      <c r="B44" s="6" t="s">
        <v>36</v>
      </c>
      <c r="C44" s="8" t="s">
        <v>15</v>
      </c>
      <c r="D44" s="6" t="s">
        <v>10</v>
      </c>
      <c r="E44" s="10"/>
      <c r="F44" s="6"/>
      <c r="G44" s="6" t="s">
        <v>16</v>
      </c>
      <c r="H44" s="6"/>
      <c r="I44" s="26" t="s">
        <v>46</v>
      </c>
      <c r="K44" s="23" t="s">
        <v>43</v>
      </c>
    </row>
    <row r="45" spans="1:11" x14ac:dyDescent="0.35">
      <c r="C45" s="22">
        <v>130000</v>
      </c>
      <c r="E45" s="16">
        <f>SUM(E38:E44)</f>
        <v>142000</v>
      </c>
      <c r="F45" s="16">
        <f>SUM(F38:F44)</f>
        <v>45000</v>
      </c>
      <c r="H45" s="20">
        <f>SUM(H38:H44)</f>
        <v>0</v>
      </c>
    </row>
    <row r="46" spans="1:11" x14ac:dyDescent="0.35">
      <c r="K46" s="27"/>
    </row>
    <row r="52" spans="1:1" x14ac:dyDescent="0.35">
      <c r="A52" t="s">
        <v>31</v>
      </c>
    </row>
  </sheetData>
  <mergeCells count="2">
    <mergeCell ref="K5:L8"/>
    <mergeCell ref="K9:L10"/>
  </mergeCells>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488F-0CE8-411D-9AFA-3655EBFD10EF}">
  <sheetPr codeName="Feuil2"/>
  <dimension ref="A1:L47"/>
  <sheetViews>
    <sheetView topLeftCell="B31" zoomScale="78" zoomScaleNormal="115" workbookViewId="0">
      <selection activeCell="E40" sqref="E40"/>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8.1796875" style="37" customWidth="1"/>
    <col min="6" max="6" width="16.6328125" customWidth="1"/>
    <col min="7" max="7" width="14.54296875" customWidth="1"/>
    <col min="8" max="8" width="18.453125" customWidth="1"/>
    <col min="9" max="9" width="45.453125" customWidth="1"/>
    <col min="11" max="11" width="31.08984375" customWidth="1"/>
    <col min="12" max="12" width="11" customWidth="1"/>
  </cols>
  <sheetData>
    <row r="1" spans="1:12" x14ac:dyDescent="0.35">
      <c r="A1" s="1" t="s">
        <v>0</v>
      </c>
      <c r="B1" s="1" t="s">
        <v>8</v>
      </c>
      <c r="C1" s="3" t="s">
        <v>1</v>
      </c>
      <c r="D1" s="1" t="s">
        <v>12</v>
      </c>
      <c r="E1" s="37" t="s">
        <v>2</v>
      </c>
      <c r="F1" t="s">
        <v>17</v>
      </c>
      <c r="G1" s="1" t="s">
        <v>3</v>
      </c>
      <c r="H1" s="1" t="s">
        <v>19</v>
      </c>
      <c r="I1" s="1" t="s">
        <v>20</v>
      </c>
    </row>
    <row r="2" spans="1:12" x14ac:dyDescent="0.35">
      <c r="A2" s="2">
        <v>45969</v>
      </c>
      <c r="B2" s="1" t="s">
        <v>36</v>
      </c>
      <c r="C2" s="3" t="s">
        <v>15</v>
      </c>
      <c r="D2" s="1" t="s">
        <v>10</v>
      </c>
      <c r="E2" s="37">
        <v>38000</v>
      </c>
      <c r="F2" s="1">
        <v>10000</v>
      </c>
      <c r="G2" s="1" t="s">
        <v>16</v>
      </c>
      <c r="H2" s="1">
        <v>50000</v>
      </c>
      <c r="I2" s="1">
        <v>5000</v>
      </c>
    </row>
    <row r="3" spans="1:12" ht="15" thickBot="1" x14ac:dyDescent="0.4">
      <c r="A3" s="2" t="s">
        <v>18</v>
      </c>
      <c r="B3" s="1" t="s">
        <v>36</v>
      </c>
      <c r="C3" s="3" t="s">
        <v>15</v>
      </c>
      <c r="D3" s="1" t="s">
        <v>10</v>
      </c>
      <c r="F3" s="1"/>
      <c r="G3" s="1" t="s">
        <v>16</v>
      </c>
      <c r="H3" s="1"/>
      <c r="I3" s="1"/>
    </row>
    <row r="4" spans="1:12" x14ac:dyDescent="0.35">
      <c r="A4" s="2">
        <v>45971</v>
      </c>
      <c r="B4" s="1" t="s">
        <v>36</v>
      </c>
      <c r="C4" s="3" t="s">
        <v>15</v>
      </c>
      <c r="D4" s="1" t="s">
        <v>10</v>
      </c>
      <c r="E4" s="37">
        <v>38000</v>
      </c>
      <c r="F4" s="1">
        <v>10000</v>
      </c>
      <c r="G4" s="1" t="s">
        <v>16</v>
      </c>
      <c r="H4" s="1"/>
      <c r="I4" s="1"/>
      <c r="K4" s="149" t="s">
        <v>44</v>
      </c>
      <c r="L4" s="150"/>
    </row>
    <row r="5" spans="1:12" x14ac:dyDescent="0.35">
      <c r="A5" s="2">
        <v>45972</v>
      </c>
      <c r="B5" s="1" t="s">
        <v>36</v>
      </c>
      <c r="C5" s="3" t="s">
        <v>15</v>
      </c>
      <c r="D5" s="1" t="s">
        <v>10</v>
      </c>
      <c r="E5" s="37">
        <v>30200</v>
      </c>
      <c r="F5" s="1">
        <v>10000</v>
      </c>
      <c r="G5" s="1" t="s">
        <v>16</v>
      </c>
      <c r="H5" s="1"/>
      <c r="I5" s="1"/>
      <c r="K5" s="151"/>
      <c r="L5" s="152"/>
    </row>
    <row r="6" spans="1:12" x14ac:dyDescent="0.35">
      <c r="A6" s="2">
        <v>45973</v>
      </c>
      <c r="B6" s="1" t="s">
        <v>36</v>
      </c>
      <c r="C6" s="3" t="s">
        <v>15</v>
      </c>
      <c r="D6" s="1" t="s">
        <v>10</v>
      </c>
      <c r="E6" s="37">
        <v>31700</v>
      </c>
      <c r="F6" s="29">
        <v>12000</v>
      </c>
      <c r="G6" s="1" t="s">
        <v>16</v>
      </c>
      <c r="K6" s="151"/>
      <c r="L6" s="152"/>
    </row>
    <row r="7" spans="1:12" x14ac:dyDescent="0.35">
      <c r="A7" s="2">
        <v>45974</v>
      </c>
      <c r="B7" s="1" t="s">
        <v>36</v>
      </c>
      <c r="C7" s="3" t="s">
        <v>15</v>
      </c>
      <c r="D7" s="1" t="s">
        <v>10</v>
      </c>
      <c r="E7" s="37">
        <v>28500</v>
      </c>
      <c r="F7" s="1">
        <v>10000</v>
      </c>
      <c r="G7" s="1" t="s">
        <v>16</v>
      </c>
      <c r="H7" s="1"/>
      <c r="I7" s="1"/>
      <c r="K7" s="151"/>
      <c r="L7" s="152"/>
    </row>
    <row r="8" spans="1:12" x14ac:dyDescent="0.35">
      <c r="A8" s="2">
        <v>45975</v>
      </c>
      <c r="B8" s="1" t="s">
        <v>36</v>
      </c>
      <c r="C8" s="3" t="s">
        <v>15</v>
      </c>
      <c r="D8" s="1" t="s">
        <v>10</v>
      </c>
      <c r="E8" s="37">
        <v>15000</v>
      </c>
      <c r="F8" s="1">
        <v>10000</v>
      </c>
      <c r="G8" s="1" t="s">
        <v>16</v>
      </c>
      <c r="H8" s="1">
        <v>20000</v>
      </c>
      <c r="I8" s="31" t="s">
        <v>47</v>
      </c>
      <c r="K8" s="157">
        <f>SUM(E10+E19+E31+E41)</f>
        <v>600000</v>
      </c>
      <c r="L8" s="158"/>
    </row>
    <row r="9" spans="1:12" x14ac:dyDescent="0.35">
      <c r="A9" s="2"/>
      <c r="B9" s="1"/>
      <c r="C9" s="3"/>
      <c r="D9" s="1"/>
      <c r="E9" s="38">
        <f>SUM(E2:E8)</f>
        <v>181400</v>
      </c>
      <c r="F9" s="30">
        <f>SUM(F2:F8)</f>
        <v>62000</v>
      </c>
      <c r="G9" s="1"/>
      <c r="H9" s="30">
        <f>SUM(H2:H8)</f>
        <v>70000</v>
      </c>
      <c r="I9" s="30">
        <f>SUM(I2:I8)</f>
        <v>5000</v>
      </c>
      <c r="K9" s="157"/>
      <c r="L9" s="158"/>
    </row>
    <row r="10" spans="1:12" x14ac:dyDescent="0.35">
      <c r="A10" s="2"/>
      <c r="B10" s="1"/>
      <c r="C10" s="3"/>
      <c r="D10" s="1"/>
      <c r="E10" s="39">
        <v>150000</v>
      </c>
      <c r="F10" s="1"/>
      <c r="G10" s="1"/>
      <c r="H10" s="1"/>
      <c r="I10" s="1"/>
      <c r="K10" s="157"/>
      <c r="L10" s="158"/>
    </row>
    <row r="11" spans="1:12" ht="15" thickBot="1" x14ac:dyDescent="0.4">
      <c r="A11" s="2">
        <v>45976</v>
      </c>
      <c r="B11" s="1" t="s">
        <v>36</v>
      </c>
      <c r="C11" s="3" t="s">
        <v>15</v>
      </c>
      <c r="D11" s="1" t="s">
        <v>10</v>
      </c>
      <c r="E11" s="37">
        <v>31000</v>
      </c>
      <c r="F11" s="1">
        <v>12000</v>
      </c>
      <c r="G11" s="1" t="s">
        <v>16</v>
      </c>
      <c r="H11" s="1"/>
      <c r="I11" s="1"/>
      <c r="K11" s="159"/>
      <c r="L11" s="160"/>
    </row>
    <row r="12" spans="1:12" x14ac:dyDescent="0.35">
      <c r="A12" s="2" t="s">
        <v>18</v>
      </c>
      <c r="B12" s="1" t="s">
        <v>36</v>
      </c>
      <c r="C12" s="3" t="s">
        <v>15</v>
      </c>
      <c r="D12" s="1" t="s">
        <v>10</v>
      </c>
      <c r="E12" s="40"/>
      <c r="F12" s="1"/>
      <c r="G12" s="1" t="s">
        <v>16</v>
      </c>
      <c r="H12" s="1"/>
      <c r="I12" s="1"/>
    </row>
    <row r="13" spans="1:12" x14ac:dyDescent="0.35">
      <c r="A13" s="2">
        <v>45978</v>
      </c>
      <c r="B13" s="1" t="s">
        <v>36</v>
      </c>
      <c r="C13" s="3" t="s">
        <v>15</v>
      </c>
      <c r="D13" s="1" t="s">
        <v>10</v>
      </c>
      <c r="E13" s="37">
        <v>15000</v>
      </c>
      <c r="F13" s="1">
        <v>10000</v>
      </c>
      <c r="G13" s="1" t="s">
        <v>16</v>
      </c>
      <c r="H13" s="1"/>
      <c r="I13" s="1"/>
    </row>
    <row r="14" spans="1:12" x14ac:dyDescent="0.35">
      <c r="A14" s="2">
        <v>45979</v>
      </c>
      <c r="B14" s="1" t="s">
        <v>36</v>
      </c>
      <c r="C14" s="3" t="s">
        <v>15</v>
      </c>
      <c r="D14" s="1" t="s">
        <v>10</v>
      </c>
      <c r="E14" s="37">
        <v>28200</v>
      </c>
      <c r="F14" s="1">
        <v>12000</v>
      </c>
      <c r="G14" s="1" t="s">
        <v>16</v>
      </c>
      <c r="H14" s="1"/>
      <c r="I14" s="1"/>
    </row>
    <row r="15" spans="1:12" x14ac:dyDescent="0.35">
      <c r="A15" s="2">
        <v>45980</v>
      </c>
      <c r="B15" s="1" t="s">
        <v>36</v>
      </c>
      <c r="C15" s="3" t="s">
        <v>15</v>
      </c>
      <c r="D15" s="1" t="s">
        <v>10</v>
      </c>
      <c r="E15" s="37">
        <v>15000</v>
      </c>
      <c r="F15" s="1">
        <v>10000</v>
      </c>
      <c r="G15" s="1" t="s">
        <v>16</v>
      </c>
      <c r="H15" s="1"/>
      <c r="I15" s="1"/>
    </row>
    <row r="16" spans="1:12" x14ac:dyDescent="0.35">
      <c r="A16" s="2">
        <v>45981</v>
      </c>
      <c r="B16" s="1" t="s">
        <v>36</v>
      </c>
      <c r="C16" s="3" t="s">
        <v>15</v>
      </c>
      <c r="D16" s="1" t="s">
        <v>10</v>
      </c>
      <c r="E16" s="37">
        <v>27000</v>
      </c>
      <c r="F16" s="1">
        <v>10000</v>
      </c>
      <c r="G16" s="1" t="s">
        <v>16</v>
      </c>
      <c r="H16" s="1"/>
      <c r="I16" s="1"/>
    </row>
    <row r="17" spans="1:11" x14ac:dyDescent="0.35">
      <c r="A17" s="2">
        <v>45982</v>
      </c>
      <c r="B17" s="1" t="s">
        <v>36</v>
      </c>
      <c r="C17" s="3" t="s">
        <v>15</v>
      </c>
      <c r="D17" s="1" t="s">
        <v>10</v>
      </c>
      <c r="E17" s="37">
        <v>44000</v>
      </c>
      <c r="F17" s="1">
        <v>5000</v>
      </c>
      <c r="G17" s="1" t="s">
        <v>16</v>
      </c>
      <c r="H17" s="1"/>
      <c r="I17" s="1"/>
    </row>
    <row r="18" spans="1:11" x14ac:dyDescent="0.35">
      <c r="B18" s="1"/>
      <c r="C18" s="3"/>
      <c r="D18" s="1"/>
      <c r="E18" s="41">
        <f>SUM(E11:E17)</f>
        <v>160200</v>
      </c>
      <c r="F18" s="5">
        <f>SUM(F11:F17)</f>
        <v>59000</v>
      </c>
      <c r="G18" s="13"/>
      <c r="H18" s="5">
        <f>SUM(H11:H17)</f>
        <v>0</v>
      </c>
      <c r="I18" s="1"/>
    </row>
    <row r="19" spans="1:11" x14ac:dyDescent="0.35">
      <c r="B19" s="1"/>
      <c r="D19" s="1"/>
      <c r="E19" s="39">
        <v>150000</v>
      </c>
      <c r="F19" s="13"/>
      <c r="G19" s="1"/>
      <c r="H19" s="1"/>
      <c r="I19" s="1"/>
    </row>
    <row r="20" spans="1:11" x14ac:dyDescent="0.35">
      <c r="B20" s="1"/>
      <c r="C20" s="3"/>
      <c r="D20" s="1"/>
      <c r="E20" s="42"/>
      <c r="F20" s="13"/>
      <c r="G20" s="1"/>
      <c r="H20" s="1"/>
      <c r="I20" s="1"/>
    </row>
    <row r="21" spans="1:11" x14ac:dyDescent="0.35">
      <c r="B21" s="1"/>
      <c r="C21" s="3"/>
      <c r="D21" s="1"/>
      <c r="E21" s="42"/>
      <c r="F21" s="13"/>
      <c r="G21" s="1"/>
      <c r="H21" s="1"/>
      <c r="I21" s="1"/>
    </row>
    <row r="22" spans="1:11" x14ac:dyDescent="0.35">
      <c r="A22" s="2" t="s">
        <v>13</v>
      </c>
      <c r="B22" s="1" t="s">
        <v>23</v>
      </c>
      <c r="C22" s="3" t="s">
        <v>24</v>
      </c>
      <c r="D22" s="1" t="s">
        <v>25</v>
      </c>
      <c r="E22" s="37" t="s">
        <v>26</v>
      </c>
      <c r="F22" s="1" t="s">
        <v>27</v>
      </c>
      <c r="G22" s="1" t="s">
        <v>28</v>
      </c>
      <c r="H22" s="1" t="s">
        <v>29</v>
      </c>
      <c r="I22" s="1" t="s">
        <v>30</v>
      </c>
    </row>
    <row r="23" spans="1:11" x14ac:dyDescent="0.35">
      <c r="A23" s="2">
        <v>45983</v>
      </c>
      <c r="B23" s="1" t="s">
        <v>36</v>
      </c>
      <c r="C23" s="3" t="s">
        <v>15</v>
      </c>
      <c r="D23" s="1" t="s">
        <v>10</v>
      </c>
      <c r="E23" s="37">
        <v>40000</v>
      </c>
      <c r="F23" s="1">
        <v>24000</v>
      </c>
      <c r="G23" s="1" t="s">
        <v>16</v>
      </c>
      <c r="H23" s="1">
        <v>50000</v>
      </c>
      <c r="I23" s="1"/>
    </row>
    <row r="24" spans="1:11" x14ac:dyDescent="0.35">
      <c r="A24" s="2" t="s">
        <v>18</v>
      </c>
      <c r="B24" s="1" t="s">
        <v>36</v>
      </c>
      <c r="C24" s="3" t="s">
        <v>15</v>
      </c>
      <c r="D24" s="1" t="s">
        <v>10</v>
      </c>
      <c r="F24" s="1"/>
      <c r="G24" s="1" t="s">
        <v>16</v>
      </c>
      <c r="H24" s="1"/>
      <c r="I24" s="1"/>
      <c r="K24" t="s">
        <v>52</v>
      </c>
    </row>
    <row r="25" spans="1:11" x14ac:dyDescent="0.35">
      <c r="A25" s="2">
        <v>45985</v>
      </c>
      <c r="B25" s="1" t="s">
        <v>36</v>
      </c>
      <c r="C25" s="3" t="s">
        <v>15</v>
      </c>
      <c r="D25" s="1" t="s">
        <v>10</v>
      </c>
      <c r="E25" s="37">
        <v>15000</v>
      </c>
      <c r="F25" s="1">
        <v>10000</v>
      </c>
      <c r="G25" s="1" t="s">
        <v>16</v>
      </c>
      <c r="H25" s="1"/>
      <c r="I25" s="1"/>
    </row>
    <row r="26" spans="1:11" x14ac:dyDescent="0.35">
      <c r="A26" s="2">
        <v>45986</v>
      </c>
      <c r="B26" s="1" t="s">
        <v>36</v>
      </c>
      <c r="C26" s="3" t="s">
        <v>15</v>
      </c>
      <c r="D26" s="1" t="s">
        <v>10</v>
      </c>
      <c r="E26" s="37">
        <v>20000</v>
      </c>
      <c r="F26" s="1">
        <v>10000</v>
      </c>
      <c r="G26" s="1" t="s">
        <v>16</v>
      </c>
      <c r="H26" s="1"/>
      <c r="I26" s="1"/>
    </row>
    <row r="27" spans="1:11" x14ac:dyDescent="0.35">
      <c r="A27" s="2">
        <v>45987</v>
      </c>
      <c r="B27" s="1" t="s">
        <v>36</v>
      </c>
      <c r="C27" s="3" t="s">
        <v>15</v>
      </c>
      <c r="D27" s="1" t="s">
        <v>10</v>
      </c>
      <c r="E27" s="37">
        <v>32000</v>
      </c>
      <c r="F27" s="1">
        <v>12000</v>
      </c>
      <c r="G27" s="1" t="s">
        <v>16</v>
      </c>
      <c r="H27" s="19"/>
      <c r="I27" s="1"/>
    </row>
    <row r="28" spans="1:11" x14ac:dyDescent="0.35">
      <c r="A28" s="2">
        <v>45988</v>
      </c>
      <c r="B28" s="1" t="s">
        <v>36</v>
      </c>
      <c r="C28" s="3" t="s">
        <v>15</v>
      </c>
      <c r="D28" s="1" t="s">
        <v>10</v>
      </c>
      <c r="E28" s="37">
        <v>39000</v>
      </c>
      <c r="F28" s="1">
        <v>12000</v>
      </c>
      <c r="G28" s="1" t="s">
        <v>16</v>
      </c>
      <c r="H28" s="1"/>
      <c r="I28" s="1"/>
    </row>
    <row r="29" spans="1:11" x14ac:dyDescent="0.35">
      <c r="A29" s="2">
        <v>45989</v>
      </c>
      <c r="B29" s="1" t="s">
        <v>36</v>
      </c>
      <c r="C29" s="3" t="s">
        <v>15</v>
      </c>
      <c r="D29" s="1" t="s">
        <v>10</v>
      </c>
      <c r="E29" s="37">
        <v>31000</v>
      </c>
      <c r="F29" s="1"/>
      <c r="G29" s="1" t="s">
        <v>16</v>
      </c>
      <c r="H29" s="1"/>
      <c r="I29" s="1"/>
    </row>
    <row r="30" spans="1:11" x14ac:dyDescent="0.35">
      <c r="A30" s="2"/>
      <c r="B30" s="1"/>
      <c r="C30" s="3"/>
      <c r="D30" s="1"/>
      <c r="E30" s="41">
        <f>SUM(E23:E29)</f>
        <v>177000</v>
      </c>
      <c r="F30" s="5">
        <f>SUM(Tableau4[Colonne6])</f>
        <v>68000</v>
      </c>
      <c r="G30" s="1"/>
      <c r="H30" s="18">
        <f>SUM(Tableau4[Colonne8])</f>
        <v>50000</v>
      </c>
      <c r="I30" s="1"/>
    </row>
    <row r="31" spans="1:11" ht="58" x14ac:dyDescent="0.35">
      <c r="E31" s="39">
        <v>150000</v>
      </c>
      <c r="F31" s="14"/>
      <c r="I31" s="47" t="s">
        <v>56</v>
      </c>
    </row>
    <row r="32" spans="1:11" x14ac:dyDescent="0.35">
      <c r="E32" s="40">
        <v>186000</v>
      </c>
      <c r="F32" s="6"/>
    </row>
    <row r="33" spans="1:9" ht="29" x14ac:dyDescent="0.35">
      <c r="A33" s="7">
        <v>45990</v>
      </c>
      <c r="B33" s="28" t="s">
        <v>36</v>
      </c>
      <c r="C33" s="11" t="s">
        <v>15</v>
      </c>
      <c r="D33" s="10" t="s">
        <v>10</v>
      </c>
      <c r="E33" s="43">
        <v>34500</v>
      </c>
      <c r="F33" s="17">
        <v>15000</v>
      </c>
      <c r="G33" s="34" t="s">
        <v>16</v>
      </c>
      <c r="H33" s="17">
        <v>50000</v>
      </c>
      <c r="I33" s="46" t="s">
        <v>54</v>
      </c>
    </row>
    <row r="34" spans="1:9" x14ac:dyDescent="0.35">
      <c r="A34" s="7" t="s">
        <v>18</v>
      </c>
      <c r="B34" s="28" t="s">
        <v>36</v>
      </c>
      <c r="C34" s="8" t="s">
        <v>15</v>
      </c>
      <c r="D34" s="6" t="s">
        <v>10</v>
      </c>
      <c r="E34" s="44"/>
      <c r="F34" s="17"/>
      <c r="G34" s="17" t="s">
        <v>16</v>
      </c>
      <c r="H34" s="6"/>
      <c r="I34" s="9"/>
    </row>
    <row r="35" spans="1:9" x14ac:dyDescent="0.35">
      <c r="A35" s="7">
        <v>45992</v>
      </c>
      <c r="B35" s="6" t="s">
        <v>53</v>
      </c>
      <c r="C35" s="11" t="s">
        <v>15</v>
      </c>
      <c r="D35" s="10" t="s">
        <v>10</v>
      </c>
      <c r="E35" s="44">
        <v>24000</v>
      </c>
      <c r="F35" s="34"/>
      <c r="G35" s="34" t="s">
        <v>16</v>
      </c>
      <c r="H35" s="10"/>
      <c r="I35" s="12"/>
    </row>
    <row r="36" spans="1:9" x14ac:dyDescent="0.35">
      <c r="A36" s="7">
        <v>45993</v>
      </c>
      <c r="B36" s="6" t="s">
        <v>53</v>
      </c>
      <c r="C36" s="8" t="s">
        <v>15</v>
      </c>
      <c r="D36" s="6" t="s">
        <v>10</v>
      </c>
      <c r="E36" s="44">
        <v>25000</v>
      </c>
      <c r="F36" s="17">
        <v>10000</v>
      </c>
      <c r="G36" s="17" t="s">
        <v>16</v>
      </c>
      <c r="H36" s="17"/>
      <c r="I36" s="9"/>
    </row>
    <row r="37" spans="1:9" x14ac:dyDescent="0.35">
      <c r="A37" s="7">
        <v>45994</v>
      </c>
      <c r="B37" s="6" t="s">
        <v>53</v>
      </c>
      <c r="C37" s="8" t="s">
        <v>15</v>
      </c>
      <c r="D37" s="6" t="s">
        <v>10</v>
      </c>
      <c r="E37" s="44">
        <v>24600</v>
      </c>
      <c r="F37" s="17">
        <v>22000</v>
      </c>
      <c r="G37" s="17"/>
      <c r="H37" s="17"/>
      <c r="I37" s="9"/>
    </row>
    <row r="38" spans="1:9" x14ac:dyDescent="0.35">
      <c r="A38" s="7">
        <v>45995</v>
      </c>
      <c r="B38" s="6" t="s">
        <v>53</v>
      </c>
      <c r="C38" s="11" t="s">
        <v>15</v>
      </c>
      <c r="D38" s="10" t="s">
        <v>10</v>
      </c>
      <c r="E38" s="44">
        <v>47000</v>
      </c>
      <c r="F38" s="34">
        <v>12000</v>
      </c>
      <c r="G38" s="34" t="s">
        <v>16</v>
      </c>
      <c r="H38" s="10"/>
      <c r="I38" s="12"/>
    </row>
    <row r="39" spans="1:9" x14ac:dyDescent="0.35">
      <c r="A39" s="7">
        <v>45996</v>
      </c>
      <c r="B39" s="6" t="s">
        <v>53</v>
      </c>
      <c r="C39" s="11" t="s">
        <v>15</v>
      </c>
      <c r="D39" s="10" t="s">
        <v>10</v>
      </c>
      <c r="E39" s="44">
        <v>25000</v>
      </c>
      <c r="F39" s="17"/>
      <c r="G39" s="34" t="s">
        <v>16</v>
      </c>
      <c r="H39" s="17"/>
      <c r="I39" s="12"/>
    </row>
    <row r="40" spans="1:9" x14ac:dyDescent="0.35">
      <c r="E40" s="45">
        <f>SUM(E33:E39)</f>
        <v>180100</v>
      </c>
      <c r="F40" s="16">
        <f>SUM(F33:F39)</f>
        <v>59000</v>
      </c>
      <c r="H40" s="20">
        <f>SUM(H33:H39)</f>
        <v>50000</v>
      </c>
    </row>
    <row r="41" spans="1:9" x14ac:dyDescent="0.35">
      <c r="E41" s="39">
        <v>150000</v>
      </c>
    </row>
    <row r="42" spans="1:9" x14ac:dyDescent="0.35">
      <c r="E42" s="40"/>
    </row>
    <row r="47" spans="1:9" x14ac:dyDescent="0.35">
      <c r="A47" t="s">
        <v>31</v>
      </c>
    </row>
  </sheetData>
  <mergeCells count="2">
    <mergeCell ref="K4:L7"/>
    <mergeCell ref="K8:L11"/>
  </mergeCells>
  <phoneticPr fontId="1" type="noConversion"/>
  <pageMargins left="0.75" right="0.75" top="1" bottom="1" header="0.5" footer="0.5"/>
  <pageSetup paperSize="9" orientation="portrait" horizontalDpi="0" verticalDpi="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1598-5FC3-4E8F-943B-2980C3EA02A2}">
  <sheetPr codeName="Feuil3"/>
  <dimension ref="A1:L44"/>
  <sheetViews>
    <sheetView topLeftCell="D5" zoomScale="78" zoomScaleNormal="115" workbookViewId="0">
      <selection activeCell="I12" sqref="I12"/>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9.08984375" style="74" customWidth="1"/>
    <col min="6" max="6" width="22" style="82" customWidth="1"/>
    <col min="7" max="7" width="18.1796875" customWidth="1"/>
    <col min="8" max="8" width="23.81640625" style="66" customWidth="1"/>
    <col min="9" max="9" width="58.81640625" customWidth="1"/>
    <col min="11" max="11" width="31.08984375" customWidth="1"/>
    <col min="12" max="12" width="11" customWidth="1"/>
  </cols>
  <sheetData>
    <row r="1" spans="1:12" ht="21" customHeight="1" x14ac:dyDescent="0.35">
      <c r="A1" s="1" t="s">
        <v>0</v>
      </c>
      <c r="B1" s="1" t="s">
        <v>8</v>
      </c>
      <c r="C1" s="3" t="s">
        <v>1</v>
      </c>
      <c r="D1" s="1" t="s">
        <v>12</v>
      </c>
      <c r="E1" s="55" t="s">
        <v>2</v>
      </c>
      <c r="F1" s="82" t="s">
        <v>17</v>
      </c>
      <c r="G1" s="1" t="s">
        <v>3</v>
      </c>
      <c r="H1" s="79" t="s">
        <v>64</v>
      </c>
      <c r="I1" s="1" t="s">
        <v>20</v>
      </c>
    </row>
    <row r="2" spans="1:12" ht="104.5" customHeight="1" x14ac:dyDescent="0.35">
      <c r="A2" s="2">
        <v>45997</v>
      </c>
      <c r="B2" s="1" t="s">
        <v>53</v>
      </c>
      <c r="C2" s="3" t="s">
        <v>15</v>
      </c>
      <c r="D2" s="1" t="s">
        <v>10</v>
      </c>
      <c r="E2" s="55"/>
      <c r="F2" s="49">
        <v>15000</v>
      </c>
      <c r="G2" s="1" t="s">
        <v>16</v>
      </c>
      <c r="H2" s="65"/>
      <c r="I2" s="57" t="s">
        <v>62</v>
      </c>
    </row>
    <row r="3" spans="1:12" ht="15" thickBot="1" x14ac:dyDescent="0.4">
      <c r="A3" s="2" t="s">
        <v>18</v>
      </c>
      <c r="B3" s="1" t="s">
        <v>53</v>
      </c>
      <c r="C3" s="3" t="s">
        <v>15</v>
      </c>
      <c r="D3" s="1" t="s">
        <v>10</v>
      </c>
      <c r="E3" s="58"/>
      <c r="F3" s="49"/>
      <c r="G3" s="1" t="s">
        <v>16</v>
      </c>
      <c r="H3" s="65"/>
      <c r="I3" s="1"/>
    </row>
    <row r="4" spans="1:12" x14ac:dyDescent="0.35">
      <c r="A4" s="2">
        <v>45999</v>
      </c>
      <c r="B4" s="1" t="s">
        <v>53</v>
      </c>
      <c r="C4" s="3" t="s">
        <v>15</v>
      </c>
      <c r="D4" s="1" t="s">
        <v>10</v>
      </c>
      <c r="E4" s="55">
        <v>0</v>
      </c>
      <c r="F4" s="49"/>
      <c r="G4" s="1" t="s">
        <v>16</v>
      </c>
      <c r="H4" s="65"/>
      <c r="I4" s="53" t="s">
        <v>63</v>
      </c>
      <c r="K4" s="149" t="s">
        <v>55</v>
      </c>
      <c r="L4" s="150"/>
    </row>
    <row r="5" spans="1:12" x14ac:dyDescent="0.35">
      <c r="A5" s="2">
        <v>46000</v>
      </c>
      <c r="B5" s="1" t="s">
        <v>53</v>
      </c>
      <c r="C5" s="3" t="s">
        <v>15</v>
      </c>
      <c r="D5" s="1" t="s">
        <v>10</v>
      </c>
      <c r="E5" s="55">
        <v>25000</v>
      </c>
      <c r="F5" s="49"/>
      <c r="G5" s="1" t="s">
        <v>16</v>
      </c>
      <c r="H5" s="65"/>
      <c r="I5" s="85"/>
      <c r="K5" s="151"/>
      <c r="L5" s="152"/>
    </row>
    <row r="6" spans="1:12" x14ac:dyDescent="0.35">
      <c r="A6" s="2">
        <v>46001</v>
      </c>
      <c r="B6" s="1" t="s">
        <v>53</v>
      </c>
      <c r="C6" s="3" t="s">
        <v>15</v>
      </c>
      <c r="D6" s="1" t="s">
        <v>10</v>
      </c>
      <c r="E6" s="55">
        <v>15000</v>
      </c>
      <c r="F6" s="81">
        <v>10000</v>
      </c>
      <c r="G6" s="1" t="s">
        <v>16</v>
      </c>
      <c r="H6" s="80">
        <v>5000</v>
      </c>
      <c r="I6" s="86" t="s">
        <v>65</v>
      </c>
      <c r="K6" s="151"/>
      <c r="L6" s="152"/>
    </row>
    <row r="7" spans="1:12" x14ac:dyDescent="0.35">
      <c r="A7" s="2">
        <v>46002</v>
      </c>
      <c r="B7" s="1" t="s">
        <v>53</v>
      </c>
      <c r="C7" s="3" t="s">
        <v>15</v>
      </c>
      <c r="D7" s="1" t="s">
        <v>10</v>
      </c>
      <c r="E7" s="55">
        <v>32000</v>
      </c>
      <c r="F7" s="49"/>
      <c r="G7" s="1" t="s">
        <v>16</v>
      </c>
      <c r="H7" s="67">
        <v>30000</v>
      </c>
      <c r="I7" s="87" t="s">
        <v>66</v>
      </c>
      <c r="K7" s="151"/>
      <c r="L7" s="152"/>
    </row>
    <row r="8" spans="1:12" x14ac:dyDescent="0.35">
      <c r="A8" s="2">
        <v>46003</v>
      </c>
      <c r="B8" s="1" t="s">
        <v>53</v>
      </c>
      <c r="C8" s="3" t="s">
        <v>15</v>
      </c>
      <c r="D8" s="1" t="s">
        <v>10</v>
      </c>
      <c r="E8" s="55">
        <v>25000</v>
      </c>
      <c r="F8" s="49">
        <v>12000</v>
      </c>
      <c r="G8" s="1" t="s">
        <v>16</v>
      </c>
      <c r="H8" s="65"/>
      <c r="I8" s="88"/>
      <c r="K8" s="157">
        <f>SUM(E10+E19+E29+E38)</f>
        <v>300000</v>
      </c>
      <c r="L8" s="158"/>
    </row>
    <row r="9" spans="1:12" x14ac:dyDescent="0.35">
      <c r="A9" s="2"/>
      <c r="B9" s="1"/>
      <c r="C9" s="3"/>
      <c r="D9" s="1"/>
      <c r="E9" s="75">
        <f>SUM(E2:E8)</f>
        <v>97000</v>
      </c>
      <c r="F9" s="75">
        <f>SUM(F2:F8)</f>
        <v>37000</v>
      </c>
      <c r="G9" s="1"/>
      <c r="H9" s="59">
        <f>SUM(H2:H8)</f>
        <v>35000</v>
      </c>
      <c r="I9" s="89">
        <f>SUM(I2:I8)</f>
        <v>0</v>
      </c>
      <c r="K9" s="157"/>
      <c r="L9" s="158"/>
    </row>
    <row r="10" spans="1:12" x14ac:dyDescent="0.35">
      <c r="A10" s="2"/>
      <c r="B10" s="1"/>
      <c r="C10" s="3"/>
      <c r="D10" s="1"/>
      <c r="E10" s="60">
        <v>130000</v>
      </c>
      <c r="F10" s="49"/>
      <c r="G10" s="1"/>
      <c r="H10" s="65"/>
      <c r="I10" s="90"/>
      <c r="K10" s="157"/>
      <c r="L10" s="158"/>
    </row>
    <row r="11" spans="1:12" ht="15" thickBot="1" x14ac:dyDescent="0.4">
      <c r="A11" s="2">
        <v>46004</v>
      </c>
      <c r="B11" s="1" t="s">
        <v>53</v>
      </c>
      <c r="C11" s="3" t="s">
        <v>15</v>
      </c>
      <c r="D11" s="1" t="s">
        <v>10</v>
      </c>
      <c r="E11" s="49">
        <v>30000</v>
      </c>
      <c r="F11" s="49"/>
      <c r="G11" s="1" t="s">
        <v>16</v>
      </c>
      <c r="H11" s="65"/>
      <c r="I11" s="90"/>
      <c r="K11" s="159"/>
      <c r="L11" s="160"/>
    </row>
    <row r="12" spans="1:12" x14ac:dyDescent="0.35">
      <c r="A12" s="2" t="s">
        <v>18</v>
      </c>
      <c r="B12" s="1" t="s">
        <v>53</v>
      </c>
      <c r="C12" s="3" t="s">
        <v>15</v>
      </c>
      <c r="D12" s="1" t="s">
        <v>10</v>
      </c>
      <c r="E12" s="49"/>
      <c r="F12" s="49">
        <v>12000</v>
      </c>
      <c r="G12" s="1" t="s">
        <v>16</v>
      </c>
      <c r="H12" s="65"/>
      <c r="I12" s="90"/>
    </row>
    <row r="13" spans="1:12" x14ac:dyDescent="0.35">
      <c r="A13" s="2">
        <v>46006</v>
      </c>
      <c r="B13" s="1" t="s">
        <v>53</v>
      </c>
      <c r="C13" s="3" t="s">
        <v>15</v>
      </c>
      <c r="D13" s="1" t="s">
        <v>10</v>
      </c>
      <c r="E13" s="55">
        <v>20000</v>
      </c>
      <c r="F13" s="49">
        <v>10000</v>
      </c>
      <c r="G13" s="1" t="s">
        <v>16</v>
      </c>
      <c r="H13" s="65"/>
      <c r="I13" s="90"/>
    </row>
    <row r="14" spans="1:12" x14ac:dyDescent="0.35">
      <c r="A14" s="2">
        <v>46007</v>
      </c>
      <c r="B14" s="1" t="s">
        <v>53</v>
      </c>
      <c r="C14" s="3" t="s">
        <v>15</v>
      </c>
      <c r="D14" s="1" t="s">
        <v>10</v>
      </c>
      <c r="E14" s="55">
        <v>15000</v>
      </c>
      <c r="F14" s="49">
        <v>10000</v>
      </c>
      <c r="G14" s="1" t="s">
        <v>16</v>
      </c>
      <c r="H14" s="65"/>
      <c r="I14" s="90"/>
    </row>
    <row r="15" spans="1:12" x14ac:dyDescent="0.35">
      <c r="A15" s="2">
        <v>46008</v>
      </c>
      <c r="B15" s="1" t="s">
        <v>53</v>
      </c>
      <c r="C15" s="3" t="s">
        <v>15</v>
      </c>
      <c r="D15" s="1" t="s">
        <v>10</v>
      </c>
      <c r="E15" s="55">
        <v>31000</v>
      </c>
      <c r="F15" s="49">
        <v>12000</v>
      </c>
      <c r="G15" s="1" t="s">
        <v>16</v>
      </c>
      <c r="H15" s="65"/>
      <c r="I15" s="90"/>
    </row>
    <row r="16" spans="1:12" x14ac:dyDescent="0.35">
      <c r="A16" s="2">
        <v>46009</v>
      </c>
      <c r="B16" s="1" t="s">
        <v>53</v>
      </c>
      <c r="C16" s="3" t="s">
        <v>15</v>
      </c>
      <c r="D16" s="1" t="s">
        <v>10</v>
      </c>
      <c r="E16" s="55">
        <v>14000</v>
      </c>
      <c r="F16" s="49">
        <v>12000</v>
      </c>
      <c r="G16" s="1" t="s">
        <v>16</v>
      </c>
      <c r="H16" s="65"/>
      <c r="I16" s="90"/>
    </row>
    <row r="17" spans="1:11" x14ac:dyDescent="0.35">
      <c r="A17" s="2">
        <v>46010</v>
      </c>
      <c r="B17" s="1" t="s">
        <v>53</v>
      </c>
      <c r="C17" s="3" t="s">
        <v>15</v>
      </c>
      <c r="D17" s="1" t="s">
        <v>10</v>
      </c>
      <c r="E17" s="55">
        <v>61000</v>
      </c>
      <c r="F17" s="49">
        <v>5000</v>
      </c>
      <c r="G17" s="1" t="s">
        <v>16</v>
      </c>
      <c r="H17" s="65"/>
      <c r="I17" s="90"/>
    </row>
    <row r="18" spans="1:11" x14ac:dyDescent="0.35">
      <c r="B18" s="1"/>
      <c r="C18" s="3"/>
      <c r="D18" s="1"/>
      <c r="E18" s="61">
        <f>SUM(E11:E17)</f>
        <v>171000</v>
      </c>
      <c r="F18" s="75">
        <f>SUM(F11:F17)</f>
        <v>61000</v>
      </c>
      <c r="G18" s="13"/>
      <c r="H18" s="68">
        <f>SUM(H11:H17)</f>
        <v>0</v>
      </c>
      <c r="I18" s="90"/>
    </row>
    <row r="19" spans="1:11" x14ac:dyDescent="0.35">
      <c r="B19" s="1"/>
      <c r="D19" s="1"/>
      <c r="E19" s="77">
        <v>170000</v>
      </c>
      <c r="F19" s="83"/>
      <c r="G19" s="1"/>
      <c r="H19" s="65"/>
      <c r="I19" s="90"/>
    </row>
    <row r="20" spans="1:11" x14ac:dyDescent="0.35">
      <c r="A20" s="2" t="s">
        <v>13</v>
      </c>
      <c r="B20" s="1" t="s">
        <v>23</v>
      </c>
      <c r="C20" s="3" t="s">
        <v>24</v>
      </c>
      <c r="D20" s="1" t="s">
        <v>25</v>
      </c>
      <c r="E20" s="55" t="s">
        <v>26</v>
      </c>
      <c r="F20" s="49" t="s">
        <v>27</v>
      </c>
      <c r="G20" s="1" t="s">
        <v>28</v>
      </c>
      <c r="H20" s="65" t="s">
        <v>29</v>
      </c>
      <c r="I20" s="90" t="s">
        <v>30</v>
      </c>
    </row>
    <row r="21" spans="1:11" x14ac:dyDescent="0.35">
      <c r="A21" s="2">
        <v>46011</v>
      </c>
      <c r="B21" s="1" t="s">
        <v>53</v>
      </c>
      <c r="C21" s="3" t="s">
        <v>15</v>
      </c>
      <c r="D21" s="1" t="s">
        <v>10</v>
      </c>
      <c r="E21" s="49">
        <v>13000</v>
      </c>
      <c r="F21" s="49">
        <v>15000</v>
      </c>
      <c r="G21" s="1" t="s">
        <v>16</v>
      </c>
      <c r="H21" s="65"/>
      <c r="I21" s="91">
        <v>50000</v>
      </c>
    </row>
    <row r="22" spans="1:11" ht="43.5" x14ac:dyDescent="0.35">
      <c r="A22" s="2" t="s">
        <v>18</v>
      </c>
      <c r="B22" s="1" t="s">
        <v>53</v>
      </c>
      <c r="C22" s="3" t="s">
        <v>15</v>
      </c>
      <c r="D22" s="1" t="s">
        <v>10</v>
      </c>
      <c r="E22" s="49"/>
      <c r="F22" s="49"/>
      <c r="G22" s="1" t="s">
        <v>16</v>
      </c>
      <c r="H22" s="65"/>
      <c r="I22" s="92" t="s">
        <v>68</v>
      </c>
      <c r="K22" t="s">
        <v>52</v>
      </c>
    </row>
    <row r="23" spans="1:11" x14ac:dyDescent="0.35">
      <c r="A23" s="2">
        <v>46013</v>
      </c>
      <c r="B23" s="1" t="s">
        <v>53</v>
      </c>
      <c r="C23" s="3" t="s">
        <v>15</v>
      </c>
      <c r="D23" s="1" t="s">
        <v>10</v>
      </c>
      <c r="E23" s="49">
        <v>32000</v>
      </c>
      <c r="F23" s="49">
        <v>12000</v>
      </c>
      <c r="G23" s="1" t="s">
        <v>16</v>
      </c>
      <c r="H23" s="65"/>
      <c r="I23" s="1"/>
    </row>
    <row r="24" spans="1:11" x14ac:dyDescent="0.35">
      <c r="A24" s="2">
        <v>46014</v>
      </c>
      <c r="B24" s="1" t="s">
        <v>53</v>
      </c>
      <c r="C24" s="3" t="s">
        <v>15</v>
      </c>
      <c r="D24" s="1" t="s">
        <v>10</v>
      </c>
      <c r="E24" s="49">
        <v>20000</v>
      </c>
      <c r="F24" s="49"/>
      <c r="G24" s="1" t="s">
        <v>16</v>
      </c>
      <c r="H24" s="65"/>
      <c r="I24" s="1"/>
    </row>
    <row r="25" spans="1:11" x14ac:dyDescent="0.35">
      <c r="A25" s="2">
        <v>46015</v>
      </c>
      <c r="B25" s="1" t="s">
        <v>53</v>
      </c>
      <c r="C25" s="3" t="s">
        <v>15</v>
      </c>
      <c r="D25" s="1" t="s">
        <v>10</v>
      </c>
      <c r="E25" s="49">
        <v>0</v>
      </c>
      <c r="F25" s="49"/>
      <c r="G25" s="1" t="s">
        <v>16</v>
      </c>
      <c r="H25" s="67"/>
      <c r="I25" s="1"/>
    </row>
    <row r="26" spans="1:11" x14ac:dyDescent="0.35">
      <c r="A26" s="2">
        <v>46016</v>
      </c>
      <c r="B26" s="1" t="s">
        <v>53</v>
      </c>
      <c r="C26" s="3" t="s">
        <v>15</v>
      </c>
      <c r="D26" s="1" t="s">
        <v>10</v>
      </c>
      <c r="E26" s="49">
        <v>30000</v>
      </c>
      <c r="F26" s="49"/>
      <c r="G26" s="1" t="s">
        <v>16</v>
      </c>
      <c r="H26" s="65"/>
      <c r="I26" s="1"/>
    </row>
    <row r="27" spans="1:11" x14ac:dyDescent="0.35">
      <c r="A27" s="2">
        <v>46017</v>
      </c>
      <c r="B27" s="1" t="s">
        <v>37</v>
      </c>
      <c r="C27" s="3" t="s">
        <v>15</v>
      </c>
      <c r="D27" s="1" t="s">
        <v>10</v>
      </c>
      <c r="G27" s="1" t="s">
        <v>16</v>
      </c>
    </row>
    <row r="28" spans="1:11" x14ac:dyDescent="0.35">
      <c r="A28" s="2"/>
      <c r="B28" s="1"/>
      <c r="C28" s="3"/>
      <c r="D28" s="1"/>
      <c r="E28" s="75">
        <f>SUM(E21:E27)</f>
        <v>95000</v>
      </c>
      <c r="F28" s="75">
        <f>SUM(Tableau410[Colonne6])</f>
        <v>27000</v>
      </c>
      <c r="G28" s="1"/>
      <c r="H28" s="69">
        <f>SUM(Tableau410[Colonne8])</f>
        <v>0</v>
      </c>
      <c r="I28" s="1" t="s">
        <v>70</v>
      </c>
    </row>
    <row r="29" spans="1:11" x14ac:dyDescent="0.35">
      <c r="E29" s="62"/>
      <c r="F29" s="84">
        <v>55000</v>
      </c>
      <c r="I29" s="36"/>
    </row>
    <row r="30" spans="1:11" x14ac:dyDescent="0.35">
      <c r="A30" s="93">
        <v>46018</v>
      </c>
      <c r="B30" s="94" t="s">
        <v>53</v>
      </c>
      <c r="C30" s="95" t="s">
        <v>15</v>
      </c>
      <c r="D30" s="94" t="s">
        <v>10</v>
      </c>
      <c r="E30" s="96">
        <v>30000</v>
      </c>
      <c r="F30" s="96">
        <v>13000</v>
      </c>
      <c r="G30" s="94" t="s">
        <v>16</v>
      </c>
      <c r="H30" s="97"/>
      <c r="I30" s="99" t="s">
        <v>69</v>
      </c>
    </row>
    <row r="31" spans="1:11" x14ac:dyDescent="0.35">
      <c r="A31" s="7" t="s">
        <v>18</v>
      </c>
      <c r="B31" s="35" t="s">
        <v>53</v>
      </c>
      <c r="C31" s="8" t="s">
        <v>15</v>
      </c>
      <c r="D31" s="6" t="s">
        <v>10</v>
      </c>
      <c r="E31" s="64"/>
      <c r="F31" s="64"/>
      <c r="G31" s="6" t="s">
        <v>16</v>
      </c>
      <c r="H31" s="71"/>
      <c r="I31" s="9"/>
    </row>
    <row r="32" spans="1:11" x14ac:dyDescent="0.35">
      <c r="A32" s="7">
        <v>46020</v>
      </c>
      <c r="B32" s="28" t="s">
        <v>53</v>
      </c>
      <c r="C32" s="11" t="s">
        <v>15</v>
      </c>
      <c r="D32" s="10" t="s">
        <v>10</v>
      </c>
      <c r="E32" s="64">
        <v>44000</v>
      </c>
      <c r="F32" s="63"/>
      <c r="G32" s="10" t="s">
        <v>16</v>
      </c>
      <c r="H32" s="72"/>
      <c r="I32" s="12"/>
    </row>
    <row r="33" spans="1:9" x14ac:dyDescent="0.35">
      <c r="A33" s="7">
        <v>46021</v>
      </c>
      <c r="B33" s="35" t="s">
        <v>53</v>
      </c>
      <c r="C33" s="8" t="s">
        <v>15</v>
      </c>
      <c r="D33" s="6" t="s">
        <v>10</v>
      </c>
      <c r="E33" s="64">
        <v>45000</v>
      </c>
      <c r="F33" s="64">
        <v>15000</v>
      </c>
      <c r="G33" s="6" t="s">
        <v>16</v>
      </c>
      <c r="H33" s="70"/>
      <c r="I33" s="9"/>
    </row>
    <row r="34" spans="1:9" x14ac:dyDescent="0.35">
      <c r="A34" s="7">
        <v>46022</v>
      </c>
      <c r="B34" s="28" t="s">
        <v>53</v>
      </c>
      <c r="C34" s="8" t="s">
        <v>15</v>
      </c>
      <c r="D34" s="6" t="s">
        <v>10</v>
      </c>
      <c r="E34" s="64">
        <v>13000</v>
      </c>
      <c r="F34" s="64">
        <v>12000</v>
      </c>
      <c r="G34" s="6" t="s">
        <v>16</v>
      </c>
      <c r="H34" s="70"/>
      <c r="I34" s="9"/>
    </row>
    <row r="35" spans="1:9" x14ac:dyDescent="0.35">
      <c r="A35" s="7">
        <v>46023</v>
      </c>
      <c r="B35" s="35" t="s">
        <v>53</v>
      </c>
      <c r="C35" s="11" t="s">
        <v>15</v>
      </c>
      <c r="D35" s="10" t="s">
        <v>10</v>
      </c>
      <c r="E35" s="64">
        <v>0</v>
      </c>
      <c r="F35" s="63"/>
      <c r="G35" s="10" t="s">
        <v>16</v>
      </c>
      <c r="H35" s="72"/>
      <c r="I35" s="100">
        <v>91000</v>
      </c>
    </row>
    <row r="36" spans="1:9" x14ac:dyDescent="0.35">
      <c r="A36" s="7">
        <v>46024</v>
      </c>
      <c r="B36" s="28" t="s">
        <v>53</v>
      </c>
      <c r="C36" s="11" t="s">
        <v>15</v>
      </c>
      <c r="D36" s="10" t="s">
        <v>10</v>
      </c>
      <c r="E36" s="64">
        <v>26000</v>
      </c>
      <c r="F36" s="64"/>
      <c r="G36" s="10" t="s">
        <v>16</v>
      </c>
      <c r="H36" s="70"/>
      <c r="I36" s="4">
        <v>65000</v>
      </c>
    </row>
    <row r="37" spans="1:9" x14ac:dyDescent="0.35">
      <c r="E37" s="76">
        <f>SUM(E30:E36)</f>
        <v>158000</v>
      </c>
      <c r="F37" s="76">
        <f>SUM(F30:F36)</f>
        <v>40000</v>
      </c>
      <c r="H37" s="73">
        <f>SUM(H30:H36)</f>
        <v>0</v>
      </c>
      <c r="I37" s="4">
        <v>156000</v>
      </c>
    </row>
    <row r="38" spans="1:9" x14ac:dyDescent="0.35">
      <c r="E38" s="78"/>
      <c r="F38" s="82">
        <v>146000</v>
      </c>
      <c r="I38" s="101">
        <v>155000</v>
      </c>
    </row>
    <row r="44" spans="1:9" x14ac:dyDescent="0.35">
      <c r="A44" t="s">
        <v>31</v>
      </c>
    </row>
  </sheetData>
  <mergeCells count="2">
    <mergeCell ref="K4:L7"/>
    <mergeCell ref="K8:L11"/>
  </mergeCells>
  <phoneticPr fontId="1" type="noConversion"/>
  <pageMargins left="0.75" right="0.75" top="1" bottom="1" header="0.5" footer="0.5"/>
  <pageSetup paperSize="9" orientation="portrait" horizontalDpi="0" verticalDpi="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686D-AE43-49AF-A10F-9FA8C5A1B275}">
  <dimension ref="A1:L44"/>
  <sheetViews>
    <sheetView topLeftCell="C13" zoomScale="78" zoomScaleNormal="115" workbookViewId="0">
      <selection activeCell="K20" sqref="K20"/>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9.08984375" style="74" customWidth="1"/>
    <col min="6" max="6" width="22" style="82" customWidth="1"/>
    <col min="7" max="7" width="18.1796875" customWidth="1"/>
    <col min="8" max="8" width="23.81640625" style="66" customWidth="1"/>
    <col min="9" max="9" width="58.81640625" customWidth="1"/>
    <col min="11" max="11" width="31.08984375" customWidth="1"/>
    <col min="12" max="12" width="11" customWidth="1"/>
  </cols>
  <sheetData>
    <row r="1" spans="1:12" ht="21" customHeight="1" x14ac:dyDescent="0.35">
      <c r="A1" s="1" t="s">
        <v>0</v>
      </c>
      <c r="B1" s="1" t="s">
        <v>8</v>
      </c>
      <c r="C1" s="3" t="s">
        <v>1</v>
      </c>
      <c r="D1" s="1" t="s">
        <v>12</v>
      </c>
      <c r="E1" s="55" t="s">
        <v>2</v>
      </c>
      <c r="F1" s="82" t="s">
        <v>17</v>
      </c>
      <c r="G1" s="1" t="s">
        <v>3</v>
      </c>
      <c r="H1" s="79" t="s">
        <v>64</v>
      </c>
      <c r="I1" s="1" t="s">
        <v>20</v>
      </c>
    </row>
    <row r="2" spans="1:12" ht="20.5" customHeight="1" x14ac:dyDescent="0.35">
      <c r="A2" s="2">
        <v>46025</v>
      </c>
      <c r="B2" s="1" t="s">
        <v>37</v>
      </c>
      <c r="C2" s="3" t="s">
        <v>15</v>
      </c>
      <c r="D2" s="1" t="s">
        <v>10</v>
      </c>
      <c r="E2" s="55">
        <v>13000</v>
      </c>
      <c r="F2" s="49">
        <v>12000</v>
      </c>
      <c r="G2" s="1" t="s">
        <v>16</v>
      </c>
      <c r="H2" s="65"/>
      <c r="I2" s="98"/>
    </row>
    <row r="3" spans="1:12" ht="15" thickBot="1" x14ac:dyDescent="0.4">
      <c r="A3" s="2" t="s">
        <v>18</v>
      </c>
      <c r="B3" s="1" t="s">
        <v>37</v>
      </c>
      <c r="C3" s="3" t="s">
        <v>15</v>
      </c>
      <c r="D3" s="1" t="s">
        <v>10</v>
      </c>
      <c r="E3" s="58"/>
      <c r="F3" s="49"/>
      <c r="G3" s="1" t="s">
        <v>16</v>
      </c>
      <c r="H3" s="65"/>
      <c r="I3" s="1"/>
    </row>
    <row r="4" spans="1:12" x14ac:dyDescent="0.35">
      <c r="A4" s="2">
        <v>46027</v>
      </c>
      <c r="B4" s="1" t="s">
        <v>37</v>
      </c>
      <c r="C4" s="3" t="s">
        <v>15</v>
      </c>
      <c r="D4" s="1" t="s">
        <v>10</v>
      </c>
      <c r="E4" s="55">
        <v>25000</v>
      </c>
      <c r="F4" s="49">
        <v>10000</v>
      </c>
      <c r="G4" s="1" t="s">
        <v>16</v>
      </c>
      <c r="H4" s="65"/>
      <c r="I4" s="53"/>
      <c r="K4" s="149" t="s">
        <v>55</v>
      </c>
      <c r="L4" s="150"/>
    </row>
    <row r="5" spans="1:12" x14ac:dyDescent="0.35">
      <c r="A5" s="2">
        <v>46028</v>
      </c>
      <c r="B5" s="1" t="s">
        <v>37</v>
      </c>
      <c r="C5" s="3" t="s">
        <v>15</v>
      </c>
      <c r="D5" s="1" t="s">
        <v>10</v>
      </c>
      <c r="E5" s="55">
        <v>25000</v>
      </c>
      <c r="F5" s="49"/>
      <c r="G5" s="1" t="s">
        <v>16</v>
      </c>
      <c r="H5" s="65"/>
      <c r="I5" s="85"/>
      <c r="K5" s="151"/>
      <c r="L5" s="152"/>
    </row>
    <row r="6" spans="1:12" x14ac:dyDescent="0.35">
      <c r="A6" s="2">
        <v>46029</v>
      </c>
      <c r="B6" s="1" t="s">
        <v>37</v>
      </c>
      <c r="C6" s="3" t="s">
        <v>15</v>
      </c>
      <c r="D6" s="1" t="s">
        <v>10</v>
      </c>
      <c r="E6" s="55">
        <v>25000</v>
      </c>
      <c r="F6" s="81"/>
      <c r="G6" s="1" t="s">
        <v>16</v>
      </c>
      <c r="H6" s="80"/>
      <c r="I6" s="86"/>
      <c r="K6" s="151"/>
      <c r="L6" s="152"/>
    </row>
    <row r="7" spans="1:12" x14ac:dyDescent="0.35">
      <c r="A7" s="2">
        <v>46030</v>
      </c>
      <c r="B7" s="1" t="s">
        <v>37</v>
      </c>
      <c r="C7" s="3" t="s">
        <v>15</v>
      </c>
      <c r="D7" s="1" t="s">
        <v>10</v>
      </c>
      <c r="E7" s="55">
        <v>0</v>
      </c>
      <c r="F7" s="49"/>
      <c r="G7" s="1" t="s">
        <v>16</v>
      </c>
      <c r="H7" s="67"/>
      <c r="I7" s="87" t="s">
        <v>73</v>
      </c>
      <c r="K7" s="151"/>
      <c r="L7" s="152"/>
    </row>
    <row r="8" spans="1:12" x14ac:dyDescent="0.35">
      <c r="A8" s="2">
        <v>46031</v>
      </c>
      <c r="B8" s="1" t="s">
        <v>37</v>
      </c>
      <c r="C8" s="3" t="s">
        <v>15</v>
      </c>
      <c r="D8" s="1" t="s">
        <v>10</v>
      </c>
      <c r="E8" s="55">
        <v>30000</v>
      </c>
      <c r="F8" s="49"/>
      <c r="G8" s="1" t="s">
        <v>16</v>
      </c>
      <c r="H8" s="65"/>
      <c r="I8" s="88">
        <v>5000</v>
      </c>
      <c r="K8" s="157">
        <f>SUM(E10+E19+E29+E38)</f>
        <v>600000</v>
      </c>
      <c r="L8" s="158"/>
    </row>
    <row r="9" spans="1:12" x14ac:dyDescent="0.35">
      <c r="A9" s="2"/>
      <c r="B9" s="1"/>
      <c r="C9" s="3"/>
      <c r="D9" s="1"/>
      <c r="E9" s="75">
        <f>SUM(E2:E8)</f>
        <v>118000</v>
      </c>
      <c r="F9" s="75">
        <f>SUM(F2:F8)</f>
        <v>22000</v>
      </c>
      <c r="G9" s="1"/>
      <c r="H9" s="59">
        <f>SUM(H2:H8)</f>
        <v>0</v>
      </c>
      <c r="I9" s="89">
        <f>SUM(I2:I8)</f>
        <v>5000</v>
      </c>
      <c r="K9" s="157"/>
      <c r="L9" s="158"/>
    </row>
    <row r="10" spans="1:12" x14ac:dyDescent="0.35">
      <c r="A10" s="2"/>
      <c r="B10" s="1"/>
      <c r="C10" s="3"/>
      <c r="D10" s="1"/>
      <c r="E10" s="60">
        <v>150000</v>
      </c>
      <c r="F10" s="49"/>
      <c r="G10" s="1"/>
      <c r="H10" s="65"/>
      <c r="I10" s="90"/>
      <c r="K10" s="157"/>
      <c r="L10" s="158"/>
    </row>
    <row r="11" spans="1:12" ht="15" thickBot="1" x14ac:dyDescent="0.4">
      <c r="A11" s="2">
        <v>46032</v>
      </c>
      <c r="B11" s="1" t="s">
        <v>37</v>
      </c>
      <c r="C11" s="3" t="s">
        <v>15</v>
      </c>
      <c r="D11" s="1" t="s">
        <v>10</v>
      </c>
      <c r="E11" s="10">
        <v>40000</v>
      </c>
      <c r="F11" s="49"/>
      <c r="G11" s="1" t="s">
        <v>16</v>
      </c>
      <c r="H11" s="65"/>
      <c r="I11" s="91" t="s">
        <v>74</v>
      </c>
      <c r="K11" s="159"/>
      <c r="L11" s="160"/>
    </row>
    <row r="12" spans="1:12" x14ac:dyDescent="0.35">
      <c r="A12" s="2" t="s">
        <v>18</v>
      </c>
      <c r="B12" s="1" t="s">
        <v>37</v>
      </c>
      <c r="C12" s="3" t="s">
        <v>15</v>
      </c>
      <c r="D12" s="1" t="s">
        <v>10</v>
      </c>
      <c r="E12" s="20"/>
      <c r="F12" s="49"/>
      <c r="G12" s="1" t="s">
        <v>16</v>
      </c>
      <c r="H12" s="65"/>
      <c r="I12" s="90"/>
    </row>
    <row r="13" spans="1:12" x14ac:dyDescent="0.35">
      <c r="A13" s="2">
        <v>46034</v>
      </c>
      <c r="B13" s="1" t="s">
        <v>37</v>
      </c>
      <c r="C13" s="3" t="s">
        <v>15</v>
      </c>
      <c r="D13" s="1" t="s">
        <v>10</v>
      </c>
      <c r="E13" s="10">
        <v>25000</v>
      </c>
      <c r="F13" s="49">
        <v>15000</v>
      </c>
      <c r="G13" s="1" t="s">
        <v>16</v>
      </c>
      <c r="H13" s="65"/>
      <c r="I13" s="90"/>
    </row>
    <row r="14" spans="1:12" x14ac:dyDescent="0.35">
      <c r="A14" s="2">
        <v>46035</v>
      </c>
      <c r="B14" s="1" t="s">
        <v>37</v>
      </c>
      <c r="C14" s="3" t="s">
        <v>15</v>
      </c>
      <c r="D14" s="1" t="s">
        <v>10</v>
      </c>
      <c r="E14" s="6">
        <v>19000</v>
      </c>
      <c r="F14" s="49"/>
      <c r="G14" s="1" t="s">
        <v>16</v>
      </c>
      <c r="H14" s="65"/>
      <c r="I14" s="90"/>
    </row>
    <row r="15" spans="1:12" x14ac:dyDescent="0.35">
      <c r="A15" s="2">
        <v>46036</v>
      </c>
      <c r="B15" s="1" t="s">
        <v>37</v>
      </c>
      <c r="C15" s="3" t="s">
        <v>15</v>
      </c>
      <c r="D15" s="1" t="s">
        <v>10</v>
      </c>
      <c r="E15" s="10">
        <v>28000</v>
      </c>
      <c r="F15" s="49"/>
      <c r="G15" s="1" t="s">
        <v>16</v>
      </c>
      <c r="H15" s="65"/>
      <c r="I15" s="90"/>
    </row>
    <row r="16" spans="1:12" x14ac:dyDescent="0.35">
      <c r="A16" s="2">
        <v>46037</v>
      </c>
      <c r="B16" s="1" t="s">
        <v>37</v>
      </c>
      <c r="C16" s="3" t="s">
        <v>15</v>
      </c>
      <c r="D16" s="1" t="s">
        <v>10</v>
      </c>
      <c r="E16" s="10">
        <v>30000</v>
      </c>
      <c r="F16" s="49"/>
      <c r="G16" s="1" t="s">
        <v>16</v>
      </c>
      <c r="H16" s="65"/>
      <c r="I16" s="90"/>
    </row>
    <row r="17" spans="1:9" x14ac:dyDescent="0.35">
      <c r="A17" s="2">
        <v>46038</v>
      </c>
      <c r="B17" s="1" t="s">
        <v>37</v>
      </c>
      <c r="C17" s="3" t="s">
        <v>15</v>
      </c>
      <c r="D17" s="1" t="s">
        <v>10</v>
      </c>
      <c r="E17" s="10">
        <v>10000</v>
      </c>
      <c r="F17" s="49"/>
      <c r="G17" s="1" t="s">
        <v>16</v>
      </c>
      <c r="H17" s="65"/>
      <c r="I17" s="90"/>
    </row>
    <row r="18" spans="1:9" x14ac:dyDescent="0.35">
      <c r="B18" s="1"/>
      <c r="C18" s="3"/>
      <c r="D18" s="1"/>
      <c r="E18" s="61">
        <f>SUM(E11:E17)</f>
        <v>152000</v>
      </c>
      <c r="F18" s="75"/>
      <c r="G18" s="13"/>
      <c r="H18" s="68">
        <f>SUM(H11:H17)</f>
        <v>0</v>
      </c>
      <c r="I18" s="90"/>
    </row>
    <row r="19" spans="1:9" x14ac:dyDescent="0.35">
      <c r="B19" s="1"/>
      <c r="D19" s="1"/>
      <c r="E19" s="77">
        <v>150000</v>
      </c>
      <c r="F19" s="83"/>
      <c r="G19" s="1"/>
      <c r="H19" s="65"/>
      <c r="I19" s="90"/>
    </row>
    <row r="20" spans="1:9" x14ac:dyDescent="0.35">
      <c r="A20" s="2" t="s">
        <v>13</v>
      </c>
      <c r="B20" s="1" t="s">
        <v>23</v>
      </c>
      <c r="C20" s="3" t="s">
        <v>24</v>
      </c>
      <c r="D20" s="1" t="s">
        <v>25</v>
      </c>
      <c r="E20" s="55" t="s">
        <v>26</v>
      </c>
      <c r="F20" s="49" t="s">
        <v>27</v>
      </c>
      <c r="G20" s="1" t="s">
        <v>28</v>
      </c>
      <c r="H20" s="65" t="s">
        <v>29</v>
      </c>
      <c r="I20" s="90" t="s">
        <v>30</v>
      </c>
    </row>
    <row r="21" spans="1:9" x14ac:dyDescent="0.35">
      <c r="A21" s="2">
        <v>46039</v>
      </c>
      <c r="B21" s="1" t="s">
        <v>37</v>
      </c>
      <c r="C21" s="3" t="s">
        <v>15</v>
      </c>
      <c r="D21" s="1" t="s">
        <v>10</v>
      </c>
      <c r="E21" s="49">
        <v>35000</v>
      </c>
      <c r="F21" s="49"/>
      <c r="G21" s="1" t="s">
        <v>16</v>
      </c>
      <c r="H21" s="65"/>
      <c r="I21" s="91"/>
    </row>
    <row r="22" spans="1:9" x14ac:dyDescent="0.35">
      <c r="A22" s="2" t="s">
        <v>18</v>
      </c>
      <c r="B22" s="1" t="s">
        <v>37</v>
      </c>
      <c r="C22" s="3"/>
      <c r="D22" s="1"/>
      <c r="E22" s="49"/>
      <c r="F22" s="49"/>
      <c r="G22" s="1"/>
      <c r="H22" s="65"/>
      <c r="I22" s="91"/>
    </row>
    <row r="23" spans="1:9" x14ac:dyDescent="0.35">
      <c r="A23" s="2">
        <v>46041</v>
      </c>
      <c r="B23" s="1" t="s">
        <v>37</v>
      </c>
      <c r="C23" s="3"/>
      <c r="D23" s="1"/>
      <c r="E23" s="49">
        <v>30000</v>
      </c>
      <c r="F23" s="49">
        <v>15000</v>
      </c>
      <c r="G23" s="1"/>
      <c r="H23" s="65"/>
      <c r="I23" s="91"/>
    </row>
    <row r="24" spans="1:9" x14ac:dyDescent="0.35">
      <c r="A24" s="2">
        <v>46042</v>
      </c>
      <c r="B24" s="1" t="s">
        <v>37</v>
      </c>
      <c r="C24" s="3" t="s">
        <v>15</v>
      </c>
      <c r="D24" s="1" t="s">
        <v>10</v>
      </c>
      <c r="E24" s="49">
        <v>10000</v>
      </c>
      <c r="F24" s="49">
        <v>15000</v>
      </c>
      <c r="G24" s="1" t="s">
        <v>16</v>
      </c>
      <c r="H24" s="65"/>
      <c r="I24" s="1"/>
    </row>
    <row r="25" spans="1:9" x14ac:dyDescent="0.35">
      <c r="A25" s="2">
        <v>46043</v>
      </c>
      <c r="B25" s="1" t="s">
        <v>37</v>
      </c>
      <c r="C25" s="3" t="s">
        <v>15</v>
      </c>
      <c r="D25" s="1" t="s">
        <v>10</v>
      </c>
      <c r="E25" s="49">
        <v>25000</v>
      </c>
      <c r="F25" s="49">
        <v>15000</v>
      </c>
      <c r="G25" s="1" t="s">
        <v>16</v>
      </c>
      <c r="H25" s="65"/>
      <c r="I25" s="1"/>
    </row>
    <row r="26" spans="1:9" x14ac:dyDescent="0.35">
      <c r="A26" s="2">
        <v>46044</v>
      </c>
      <c r="B26" s="1" t="s">
        <v>37</v>
      </c>
      <c r="C26" s="3" t="s">
        <v>15</v>
      </c>
      <c r="D26" s="1" t="s">
        <v>10</v>
      </c>
      <c r="E26" s="49">
        <v>10000</v>
      </c>
      <c r="F26" s="49">
        <v>15000</v>
      </c>
      <c r="G26" s="1" t="s">
        <v>16</v>
      </c>
      <c r="H26" s="67"/>
      <c r="I26" s="1"/>
    </row>
    <row r="27" spans="1:9" x14ac:dyDescent="0.35">
      <c r="A27" s="2">
        <v>46045</v>
      </c>
      <c r="B27" s="1" t="s">
        <v>52</v>
      </c>
      <c r="C27" s="3" t="s">
        <v>15</v>
      </c>
      <c r="D27" s="1" t="s">
        <v>10</v>
      </c>
      <c r="E27" s="49">
        <v>25000</v>
      </c>
      <c r="F27" s="49"/>
      <c r="G27" s="1" t="s">
        <v>16</v>
      </c>
      <c r="H27" s="65"/>
      <c r="I27" s="1"/>
    </row>
    <row r="28" spans="1:9" ht="29" x14ac:dyDescent="0.35">
      <c r="A28" s="2"/>
      <c r="B28" s="1"/>
      <c r="C28" s="3"/>
      <c r="D28" s="1"/>
      <c r="E28" s="102">
        <f>SUM(E21:E27)</f>
        <v>135000</v>
      </c>
      <c r="F28" s="75">
        <f>SUM(Tableau4101213[Colonne6])</f>
        <v>60000</v>
      </c>
      <c r="G28" s="1"/>
      <c r="H28" s="69" t="s">
        <v>82</v>
      </c>
      <c r="I28" s="105" t="s">
        <v>80</v>
      </c>
    </row>
    <row r="29" spans="1:9" x14ac:dyDescent="0.35">
      <c r="E29" s="62">
        <v>170000</v>
      </c>
      <c r="F29" s="84"/>
      <c r="I29" s="36"/>
    </row>
    <row r="30" spans="1:9" ht="29" x14ac:dyDescent="0.35">
      <c r="A30" s="93">
        <v>46046</v>
      </c>
      <c r="B30" s="94" t="s">
        <v>53</v>
      </c>
      <c r="C30" s="95" t="s">
        <v>15</v>
      </c>
      <c r="D30" s="94" t="s">
        <v>10</v>
      </c>
      <c r="E30" s="96">
        <v>25000</v>
      </c>
      <c r="F30" s="96"/>
      <c r="G30" s="94" t="s">
        <v>16</v>
      </c>
      <c r="H30" s="103" t="s">
        <v>79</v>
      </c>
      <c r="I30" s="104" t="s">
        <v>81</v>
      </c>
    </row>
    <row r="31" spans="1:9" x14ac:dyDescent="0.35">
      <c r="A31" s="7" t="s">
        <v>18</v>
      </c>
      <c r="B31" s="35" t="s">
        <v>53</v>
      </c>
      <c r="C31" s="8" t="s">
        <v>15</v>
      </c>
      <c r="D31" s="6" t="s">
        <v>10</v>
      </c>
      <c r="E31" s="64"/>
      <c r="F31" s="64"/>
      <c r="G31" s="6" t="s">
        <v>16</v>
      </c>
      <c r="H31" s="71"/>
      <c r="I31" s="9"/>
    </row>
    <row r="32" spans="1:9" x14ac:dyDescent="0.35">
      <c r="A32" s="7">
        <v>46048</v>
      </c>
      <c r="B32" s="28" t="s">
        <v>53</v>
      </c>
      <c r="C32" s="11" t="s">
        <v>15</v>
      </c>
      <c r="D32" s="10" t="s">
        <v>10</v>
      </c>
      <c r="E32" s="64">
        <v>15000</v>
      </c>
      <c r="F32" s="63">
        <v>15000</v>
      </c>
      <c r="G32" s="10" t="s">
        <v>16</v>
      </c>
      <c r="H32" s="72"/>
      <c r="I32" s="12"/>
    </row>
    <row r="33" spans="1:9" x14ac:dyDescent="0.35">
      <c r="A33" s="7">
        <v>46049</v>
      </c>
      <c r="B33" s="35" t="s">
        <v>53</v>
      </c>
      <c r="C33" s="8" t="s">
        <v>15</v>
      </c>
      <c r="D33" s="6" t="s">
        <v>10</v>
      </c>
      <c r="E33" s="64">
        <v>15000</v>
      </c>
      <c r="F33" s="64">
        <v>10000</v>
      </c>
      <c r="G33" s="6" t="s">
        <v>16</v>
      </c>
      <c r="H33" s="70"/>
      <c r="I33" s="9"/>
    </row>
    <row r="34" spans="1:9" x14ac:dyDescent="0.35">
      <c r="A34" s="7">
        <v>46050</v>
      </c>
      <c r="B34" s="28" t="s">
        <v>53</v>
      </c>
      <c r="C34" s="8" t="s">
        <v>15</v>
      </c>
      <c r="D34" s="6" t="s">
        <v>10</v>
      </c>
      <c r="E34" s="64">
        <v>10000</v>
      </c>
      <c r="F34" s="64">
        <v>10000</v>
      </c>
      <c r="G34" s="6" t="s">
        <v>16</v>
      </c>
      <c r="H34" s="70"/>
      <c r="I34" s="9"/>
    </row>
    <row r="35" spans="1:9" x14ac:dyDescent="0.35">
      <c r="A35" s="7">
        <v>46051</v>
      </c>
      <c r="B35" s="35" t="s">
        <v>53</v>
      </c>
      <c r="C35" s="11" t="s">
        <v>15</v>
      </c>
      <c r="D35" s="10" t="s">
        <v>10</v>
      </c>
      <c r="E35" s="64">
        <v>10000</v>
      </c>
      <c r="F35" s="63"/>
      <c r="G35" s="10" t="s">
        <v>16</v>
      </c>
      <c r="H35" s="72"/>
      <c r="I35" s="12"/>
    </row>
    <row r="36" spans="1:9" x14ac:dyDescent="0.35">
      <c r="A36" s="7">
        <v>46052</v>
      </c>
      <c r="B36" s="28" t="s">
        <v>53</v>
      </c>
      <c r="C36" s="11" t="s">
        <v>15</v>
      </c>
      <c r="D36" s="10" t="s">
        <v>10</v>
      </c>
      <c r="E36" s="64">
        <v>38500</v>
      </c>
      <c r="F36" s="64"/>
      <c r="G36" s="10" t="s">
        <v>16</v>
      </c>
      <c r="H36" s="70"/>
      <c r="I36" s="12"/>
    </row>
    <row r="37" spans="1:9" x14ac:dyDescent="0.35">
      <c r="E37" s="76">
        <f>SUM(E30:E36)</f>
        <v>113500</v>
      </c>
      <c r="F37" s="76">
        <f>SUM(F30:F36)</f>
        <v>35000</v>
      </c>
      <c r="H37" s="73">
        <f>SUM(H30:H36)</f>
        <v>0</v>
      </c>
    </row>
    <row r="38" spans="1:9" x14ac:dyDescent="0.35">
      <c r="E38" s="78">
        <v>130000</v>
      </c>
    </row>
    <row r="44" spans="1:9" x14ac:dyDescent="0.35">
      <c r="A44" t="s">
        <v>31</v>
      </c>
    </row>
  </sheetData>
  <mergeCells count="2">
    <mergeCell ref="K4:L7"/>
    <mergeCell ref="K8:L11"/>
  </mergeCells>
  <phoneticPr fontId="1" type="noConversion"/>
  <pageMargins left="0.75" right="0.75" top="1" bottom="1" header="0.5" footer="0.5"/>
  <pageSetup paperSize="9" orientation="portrait" horizontalDpi="0" verticalDpi="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61E0C-87EF-4B56-BCBA-ECCBA1F8E784}">
  <dimension ref="A1:L42"/>
  <sheetViews>
    <sheetView topLeftCell="D18" zoomScale="78" zoomScaleNormal="115" workbookViewId="0">
      <selection activeCell="A34" sqref="A34"/>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9.08984375" style="74" customWidth="1"/>
    <col min="6" max="6" width="22" style="82" customWidth="1"/>
    <col min="7" max="7" width="18.1796875" customWidth="1"/>
    <col min="8" max="8" width="23.81640625" style="66" customWidth="1"/>
    <col min="9" max="9" width="58.81640625" customWidth="1"/>
    <col min="11" max="11" width="31.08984375" customWidth="1"/>
    <col min="12" max="12" width="11" customWidth="1"/>
  </cols>
  <sheetData>
    <row r="1" spans="1:12" ht="21" customHeight="1" x14ac:dyDescent="0.35">
      <c r="A1" s="1" t="s">
        <v>0</v>
      </c>
      <c r="B1" s="1" t="s">
        <v>8</v>
      </c>
      <c r="C1" s="3" t="s">
        <v>1</v>
      </c>
      <c r="D1" s="1" t="s">
        <v>12</v>
      </c>
      <c r="E1" s="55" t="s">
        <v>2</v>
      </c>
      <c r="F1" s="82" t="s">
        <v>17</v>
      </c>
      <c r="G1" s="1" t="s">
        <v>3</v>
      </c>
      <c r="H1" s="79" t="s">
        <v>64</v>
      </c>
      <c r="I1" s="1" t="s">
        <v>20</v>
      </c>
    </row>
    <row r="2" spans="1:12" ht="20.5" customHeight="1" x14ac:dyDescent="0.35">
      <c r="A2" s="2">
        <v>46053</v>
      </c>
      <c r="B2" s="1" t="s">
        <v>83</v>
      </c>
      <c r="C2" s="3" t="s">
        <v>15</v>
      </c>
      <c r="D2" s="1" t="s">
        <v>10</v>
      </c>
      <c r="E2" s="55">
        <v>40000</v>
      </c>
      <c r="F2" s="49">
        <v>10000</v>
      </c>
      <c r="G2" s="1" t="s">
        <v>16</v>
      </c>
      <c r="H2" s="65">
        <v>33000</v>
      </c>
      <c r="I2" s="98"/>
    </row>
    <row r="3" spans="1:12" ht="15" thickBot="1" x14ac:dyDescent="0.4">
      <c r="A3" s="2" t="s">
        <v>18</v>
      </c>
      <c r="B3" s="1" t="s">
        <v>83</v>
      </c>
      <c r="C3" s="3" t="s">
        <v>15</v>
      </c>
      <c r="D3" s="1" t="s">
        <v>10</v>
      </c>
      <c r="E3" s="58"/>
      <c r="F3" s="49">
        <v>15000</v>
      </c>
      <c r="G3" s="1" t="s">
        <v>16</v>
      </c>
      <c r="H3" s="65"/>
      <c r="I3" s="1"/>
    </row>
    <row r="4" spans="1:12" x14ac:dyDescent="0.35">
      <c r="A4" s="2">
        <v>46055</v>
      </c>
      <c r="B4" s="1" t="s">
        <v>83</v>
      </c>
      <c r="C4" s="3" t="s">
        <v>15</v>
      </c>
      <c r="D4" s="1" t="s">
        <v>10</v>
      </c>
      <c r="E4" s="58">
        <v>25000</v>
      </c>
      <c r="F4" s="49">
        <v>15000</v>
      </c>
      <c r="G4" s="1" t="s">
        <v>16</v>
      </c>
      <c r="H4" s="65"/>
      <c r="I4" s="53"/>
      <c r="K4" s="149" t="s">
        <v>55</v>
      </c>
      <c r="L4" s="150"/>
    </row>
    <row r="5" spans="1:12" x14ac:dyDescent="0.35">
      <c r="A5" s="2">
        <v>46056</v>
      </c>
      <c r="B5" s="1" t="s">
        <v>83</v>
      </c>
      <c r="C5" s="3" t="s">
        <v>15</v>
      </c>
      <c r="D5" s="1" t="s">
        <v>10</v>
      </c>
      <c r="E5" s="55">
        <v>25000</v>
      </c>
      <c r="F5" s="49">
        <v>15000</v>
      </c>
      <c r="G5" s="1" t="s">
        <v>16</v>
      </c>
      <c r="H5" s="65"/>
      <c r="I5" s="85"/>
      <c r="K5" s="151"/>
      <c r="L5" s="152"/>
    </row>
    <row r="6" spans="1:12" x14ac:dyDescent="0.35">
      <c r="A6" s="2">
        <v>46057</v>
      </c>
      <c r="B6" s="1" t="s">
        <v>83</v>
      </c>
      <c r="C6" s="3" t="s">
        <v>15</v>
      </c>
      <c r="D6" s="1" t="s">
        <v>10</v>
      </c>
      <c r="E6" s="55">
        <v>35000</v>
      </c>
      <c r="F6" s="81">
        <v>15000</v>
      </c>
      <c r="G6" s="1" t="s">
        <v>16</v>
      </c>
      <c r="H6" s="80"/>
      <c r="I6" s="86"/>
      <c r="K6" s="151"/>
      <c r="L6" s="152"/>
    </row>
    <row r="7" spans="1:12" x14ac:dyDescent="0.35">
      <c r="A7" s="2">
        <v>46058</v>
      </c>
      <c r="B7" s="1" t="s">
        <v>83</v>
      </c>
      <c r="C7" s="3" t="s">
        <v>15</v>
      </c>
      <c r="D7" s="1" t="s">
        <v>10</v>
      </c>
      <c r="E7" s="55">
        <v>10000</v>
      </c>
      <c r="F7" s="49"/>
      <c r="G7" s="1" t="s">
        <v>16</v>
      </c>
      <c r="H7" s="67"/>
      <c r="I7" s="87"/>
      <c r="K7" s="151"/>
      <c r="L7" s="152"/>
    </row>
    <row r="8" spans="1:12" x14ac:dyDescent="0.35">
      <c r="A8" s="2">
        <v>46059</v>
      </c>
      <c r="B8" s="1" t="s">
        <v>83</v>
      </c>
      <c r="C8" s="3" t="s">
        <v>15</v>
      </c>
      <c r="D8" s="1" t="s">
        <v>10</v>
      </c>
      <c r="E8" s="55">
        <v>25000</v>
      </c>
      <c r="F8" s="49"/>
      <c r="G8" s="1" t="s">
        <v>16</v>
      </c>
      <c r="H8" s="65"/>
      <c r="I8" s="88"/>
      <c r="K8" s="157">
        <f>SUM(E10+E19+E27+E36)</f>
        <v>600000</v>
      </c>
      <c r="L8" s="158"/>
    </row>
    <row r="9" spans="1:12" x14ac:dyDescent="0.35">
      <c r="A9" s="2"/>
      <c r="B9" s="1"/>
      <c r="C9" s="3"/>
      <c r="D9" s="1"/>
      <c r="E9" s="75">
        <f>SUM(E2:E8)</f>
        <v>160000</v>
      </c>
      <c r="F9" s="75">
        <f>SUM(F2:F8)</f>
        <v>70000</v>
      </c>
      <c r="G9" s="1"/>
      <c r="H9" s="59">
        <f>SUM(H2:H8)</f>
        <v>33000</v>
      </c>
      <c r="I9" s="89">
        <f>SUM(I2:I8)</f>
        <v>0</v>
      </c>
      <c r="K9" s="157"/>
      <c r="L9" s="158"/>
    </row>
    <row r="10" spans="1:12" ht="29" x14ac:dyDescent="0.35">
      <c r="A10" s="2"/>
      <c r="B10" s="1"/>
      <c r="C10" s="3"/>
      <c r="D10" s="1"/>
      <c r="E10" s="60">
        <v>150000</v>
      </c>
      <c r="F10" s="49"/>
      <c r="G10" s="1"/>
      <c r="H10" s="79" t="s">
        <v>84</v>
      </c>
      <c r="I10" s="106" t="s">
        <v>85</v>
      </c>
      <c r="K10" s="157"/>
      <c r="L10" s="158"/>
    </row>
    <row r="11" spans="1:12" ht="15" thickBot="1" x14ac:dyDescent="0.4">
      <c r="A11" s="2">
        <v>46060</v>
      </c>
      <c r="B11" s="1" t="s">
        <v>83</v>
      </c>
      <c r="C11" s="3" t="s">
        <v>15</v>
      </c>
      <c r="D11" s="1" t="s">
        <v>10</v>
      </c>
      <c r="E11" s="10">
        <v>25000</v>
      </c>
      <c r="F11" s="49">
        <v>15000</v>
      </c>
      <c r="G11" s="1" t="s">
        <v>16</v>
      </c>
      <c r="H11" s="65"/>
      <c r="I11" s="91"/>
      <c r="K11" s="159"/>
      <c r="L11" s="160"/>
    </row>
    <row r="12" spans="1:12" x14ac:dyDescent="0.35">
      <c r="A12" s="2" t="s">
        <v>18</v>
      </c>
      <c r="B12" s="1" t="s">
        <v>83</v>
      </c>
      <c r="C12" s="3" t="s">
        <v>15</v>
      </c>
      <c r="D12" s="1" t="s">
        <v>10</v>
      </c>
      <c r="E12" s="20"/>
      <c r="F12" s="49"/>
      <c r="G12" s="1" t="s">
        <v>16</v>
      </c>
      <c r="H12" s="65"/>
      <c r="I12" s="90"/>
    </row>
    <row r="13" spans="1:12" x14ac:dyDescent="0.35">
      <c r="A13" s="2">
        <v>46062</v>
      </c>
      <c r="B13" s="1" t="s">
        <v>83</v>
      </c>
      <c r="C13" s="3" t="s">
        <v>15</v>
      </c>
      <c r="D13" s="1" t="s">
        <v>10</v>
      </c>
      <c r="E13" s="58">
        <v>25000</v>
      </c>
      <c r="F13" s="49">
        <v>15000</v>
      </c>
      <c r="G13" s="1" t="s">
        <v>16</v>
      </c>
      <c r="H13" s="65"/>
      <c r="I13" s="90"/>
    </row>
    <row r="14" spans="1:12" x14ac:dyDescent="0.35">
      <c r="A14" s="2">
        <v>46063</v>
      </c>
      <c r="B14" s="1" t="s">
        <v>83</v>
      </c>
      <c r="C14" s="3" t="s">
        <v>15</v>
      </c>
      <c r="D14" s="1" t="s">
        <v>10</v>
      </c>
      <c r="E14" s="55">
        <v>25000</v>
      </c>
      <c r="F14" s="49"/>
      <c r="G14" s="1" t="s">
        <v>16</v>
      </c>
      <c r="H14" s="65"/>
      <c r="I14" s="90"/>
    </row>
    <row r="15" spans="1:12" x14ac:dyDescent="0.35">
      <c r="A15" s="2">
        <v>46064</v>
      </c>
      <c r="B15" s="1" t="s">
        <v>83</v>
      </c>
      <c r="C15" s="3" t="s">
        <v>15</v>
      </c>
      <c r="D15" s="1" t="s">
        <v>10</v>
      </c>
      <c r="E15" s="55">
        <v>35000</v>
      </c>
      <c r="F15" s="49"/>
      <c r="G15" s="1" t="s">
        <v>16</v>
      </c>
      <c r="H15" s="65"/>
      <c r="I15" s="90"/>
    </row>
    <row r="16" spans="1:12" x14ac:dyDescent="0.35">
      <c r="A16" s="2">
        <v>46065</v>
      </c>
      <c r="B16" s="1" t="s">
        <v>83</v>
      </c>
      <c r="C16" s="3" t="s">
        <v>15</v>
      </c>
      <c r="D16" s="1" t="s">
        <v>10</v>
      </c>
      <c r="E16" s="55">
        <v>15000</v>
      </c>
      <c r="F16" s="49"/>
      <c r="G16" s="1" t="s">
        <v>16</v>
      </c>
      <c r="H16" s="65"/>
      <c r="I16" s="90"/>
    </row>
    <row r="17" spans="1:9" x14ac:dyDescent="0.35">
      <c r="A17" s="2">
        <v>46066</v>
      </c>
      <c r="B17" s="1" t="s">
        <v>83</v>
      </c>
      <c r="C17" s="3" t="s">
        <v>15</v>
      </c>
      <c r="D17" s="1" t="s">
        <v>10</v>
      </c>
      <c r="E17" s="55">
        <v>25000</v>
      </c>
      <c r="F17" s="49"/>
      <c r="G17" s="1" t="s">
        <v>16</v>
      </c>
      <c r="H17" s="65"/>
      <c r="I17" s="90"/>
    </row>
    <row r="18" spans="1:9" x14ac:dyDescent="0.35">
      <c r="B18" s="1"/>
      <c r="C18" s="3"/>
      <c r="D18" s="1"/>
      <c r="E18" s="61">
        <f>SUM(E11:E17)</f>
        <v>150000</v>
      </c>
      <c r="F18" s="75"/>
      <c r="G18" s="13"/>
      <c r="H18" s="68">
        <f>SUM(H11:H17)</f>
        <v>0</v>
      </c>
      <c r="I18" s="90"/>
    </row>
    <row r="19" spans="1:9" x14ac:dyDescent="0.35">
      <c r="B19" s="1"/>
      <c r="D19" s="1"/>
      <c r="E19" s="60">
        <v>150000</v>
      </c>
      <c r="F19" s="83"/>
      <c r="G19" s="1"/>
      <c r="H19" s="65"/>
      <c r="I19" s="90"/>
    </row>
    <row r="20" spans="1:9" x14ac:dyDescent="0.35">
      <c r="A20" s="2" t="s">
        <v>13</v>
      </c>
      <c r="B20" s="1" t="s">
        <v>23</v>
      </c>
      <c r="C20" s="3" t="s">
        <v>24</v>
      </c>
      <c r="D20" s="1" t="s">
        <v>25</v>
      </c>
      <c r="E20" s="55" t="s">
        <v>26</v>
      </c>
      <c r="F20" s="49" t="s">
        <v>27</v>
      </c>
      <c r="G20" s="1" t="s">
        <v>28</v>
      </c>
      <c r="H20" s="65" t="s">
        <v>29</v>
      </c>
      <c r="I20" s="90" t="s">
        <v>30</v>
      </c>
    </row>
    <row r="21" spans="1:9" x14ac:dyDescent="0.35">
      <c r="A21" s="2">
        <v>46069</v>
      </c>
      <c r="B21" s="1" t="s">
        <v>83</v>
      </c>
      <c r="C21" s="3" t="s">
        <v>15</v>
      </c>
      <c r="D21" s="1" t="s">
        <v>10</v>
      </c>
      <c r="E21" s="49">
        <v>50000</v>
      </c>
      <c r="F21" s="49"/>
      <c r="G21" s="1"/>
      <c r="H21" s="65" t="s">
        <v>86</v>
      </c>
      <c r="I21" s="90"/>
    </row>
    <row r="22" spans="1:9" x14ac:dyDescent="0.35">
      <c r="A22" s="2">
        <v>46070</v>
      </c>
      <c r="B22" s="1" t="s">
        <v>83</v>
      </c>
      <c r="C22" s="3" t="s">
        <v>15</v>
      </c>
      <c r="D22" s="1" t="s">
        <v>10</v>
      </c>
      <c r="E22" s="49">
        <v>25000</v>
      </c>
      <c r="F22" s="49"/>
      <c r="G22" s="1" t="s">
        <v>16</v>
      </c>
      <c r="H22" s="65"/>
      <c r="I22" s="91"/>
    </row>
    <row r="23" spans="1:9" x14ac:dyDescent="0.35">
      <c r="A23" s="2">
        <v>46071</v>
      </c>
      <c r="B23" s="1" t="s">
        <v>83</v>
      </c>
      <c r="C23" s="3" t="s">
        <v>15</v>
      </c>
      <c r="D23" s="1" t="s">
        <v>10</v>
      </c>
      <c r="E23" s="49">
        <v>25000</v>
      </c>
      <c r="F23" s="49">
        <v>15000</v>
      </c>
      <c r="G23" s="1"/>
      <c r="H23" s="65"/>
      <c r="I23" s="91"/>
    </row>
    <row r="24" spans="1:9" ht="29" x14ac:dyDescent="0.35">
      <c r="A24" s="2">
        <v>46072</v>
      </c>
      <c r="B24" s="1" t="s">
        <v>83</v>
      </c>
      <c r="C24" s="3" t="s">
        <v>15</v>
      </c>
      <c r="D24" s="1" t="s">
        <v>10</v>
      </c>
      <c r="E24" s="49">
        <v>25000</v>
      </c>
      <c r="F24" s="49"/>
      <c r="G24" s="1"/>
      <c r="H24" s="79" t="s">
        <v>89</v>
      </c>
      <c r="I24" s="91"/>
    </row>
    <row r="25" spans="1:9" x14ac:dyDescent="0.35">
      <c r="A25" s="2">
        <v>46073</v>
      </c>
      <c r="B25" s="1" t="s">
        <v>83</v>
      </c>
      <c r="C25" s="3" t="s">
        <v>15</v>
      </c>
      <c r="D25" s="1" t="s">
        <v>10</v>
      </c>
      <c r="E25" s="49">
        <v>20000</v>
      </c>
      <c r="F25" s="49"/>
      <c r="G25" s="1" t="s">
        <v>16</v>
      </c>
      <c r="H25" s="65"/>
      <c r="I25" s="1"/>
    </row>
    <row r="26" spans="1:9" x14ac:dyDescent="0.35">
      <c r="A26" s="2"/>
      <c r="B26" s="1"/>
      <c r="C26" s="3"/>
      <c r="D26" s="1"/>
      <c r="E26" s="102">
        <f>SUM(E21:E25)</f>
        <v>145000</v>
      </c>
      <c r="F26" s="75"/>
      <c r="G26" s="1"/>
      <c r="H26" s="69"/>
      <c r="I26" s="105"/>
    </row>
    <row r="27" spans="1:9" x14ac:dyDescent="0.35">
      <c r="E27" s="60">
        <v>150000</v>
      </c>
      <c r="F27" s="84"/>
      <c r="I27" s="36"/>
    </row>
    <row r="28" spans="1:9" x14ac:dyDescent="0.35">
      <c r="A28" s="7">
        <v>46074</v>
      </c>
      <c r="B28" s="35" t="s">
        <v>83</v>
      </c>
      <c r="C28" s="95" t="s">
        <v>15</v>
      </c>
      <c r="D28" s="94" t="s">
        <v>10</v>
      </c>
      <c r="E28" s="96">
        <v>35000</v>
      </c>
      <c r="F28" s="96">
        <v>30000</v>
      </c>
      <c r="G28" s="94" t="s">
        <v>16</v>
      </c>
      <c r="H28" s="103"/>
      <c r="I28" s="104"/>
    </row>
    <row r="29" spans="1:9" x14ac:dyDescent="0.35">
      <c r="A29" s="7" t="s">
        <v>18</v>
      </c>
      <c r="B29" s="35" t="s">
        <v>83</v>
      </c>
      <c r="C29" s="8" t="s">
        <v>15</v>
      </c>
      <c r="D29" s="6" t="s">
        <v>10</v>
      </c>
      <c r="E29" s="64"/>
      <c r="F29" s="64">
        <v>15000</v>
      </c>
      <c r="G29" s="6" t="s">
        <v>16</v>
      </c>
      <c r="H29" s="71"/>
      <c r="I29" s="9"/>
    </row>
    <row r="30" spans="1:9" x14ac:dyDescent="0.35">
      <c r="A30" s="7">
        <v>46076</v>
      </c>
      <c r="B30" s="35" t="s">
        <v>83</v>
      </c>
      <c r="C30" s="11" t="s">
        <v>15</v>
      </c>
      <c r="D30" s="10" t="s">
        <v>10</v>
      </c>
      <c r="E30" s="96">
        <v>15000</v>
      </c>
      <c r="F30" s="64">
        <v>15000</v>
      </c>
      <c r="G30" s="10" t="s">
        <v>16</v>
      </c>
      <c r="H30" s="72"/>
      <c r="I30" s="12"/>
    </row>
    <row r="31" spans="1:9" x14ac:dyDescent="0.35">
      <c r="A31" s="7">
        <v>46077</v>
      </c>
      <c r="B31" s="35" t="s">
        <v>83</v>
      </c>
      <c r="C31" s="8" t="s">
        <v>15</v>
      </c>
      <c r="D31" s="6" t="s">
        <v>10</v>
      </c>
      <c r="E31" s="64">
        <v>25000</v>
      </c>
      <c r="F31" s="64">
        <v>15000</v>
      </c>
      <c r="G31" s="6" t="s">
        <v>16</v>
      </c>
      <c r="H31" s="70"/>
      <c r="I31" s="9"/>
    </row>
    <row r="32" spans="1:9" x14ac:dyDescent="0.35">
      <c r="A32" s="7">
        <v>46078</v>
      </c>
      <c r="B32" s="35" t="s">
        <v>83</v>
      </c>
      <c r="C32" s="8" t="s">
        <v>15</v>
      </c>
      <c r="D32" s="6" t="s">
        <v>10</v>
      </c>
      <c r="E32" s="64">
        <v>15000</v>
      </c>
      <c r="F32" s="64">
        <v>15000</v>
      </c>
      <c r="G32" s="6" t="s">
        <v>16</v>
      </c>
      <c r="H32" s="70"/>
      <c r="I32" s="9"/>
    </row>
    <row r="33" spans="1:9" x14ac:dyDescent="0.35">
      <c r="A33" s="7">
        <v>46079</v>
      </c>
      <c r="B33" s="35" t="s">
        <v>83</v>
      </c>
      <c r="C33" s="11" t="s">
        <v>15</v>
      </c>
      <c r="D33" s="10" t="s">
        <v>10</v>
      </c>
      <c r="E33" s="64">
        <v>25000</v>
      </c>
      <c r="F33" s="64">
        <v>15000</v>
      </c>
      <c r="G33" s="10" t="s">
        <v>16</v>
      </c>
      <c r="H33" s="72"/>
      <c r="I33" s="12"/>
    </row>
    <row r="34" spans="1:9" x14ac:dyDescent="0.35">
      <c r="A34" s="7">
        <v>46080</v>
      </c>
      <c r="B34" s="35" t="s">
        <v>83</v>
      </c>
      <c r="C34" s="11" t="s">
        <v>15</v>
      </c>
      <c r="D34" s="10" t="s">
        <v>10</v>
      </c>
      <c r="E34" s="96">
        <v>30000</v>
      </c>
      <c r="F34" s="64"/>
      <c r="G34" s="10" t="s">
        <v>16</v>
      </c>
      <c r="H34" s="70"/>
      <c r="I34" s="12"/>
    </row>
    <row r="35" spans="1:9" x14ac:dyDescent="0.35">
      <c r="E35" s="76">
        <f>SUM(E28:E34)</f>
        <v>145000</v>
      </c>
      <c r="F35" s="76"/>
      <c r="H35" s="73">
        <f>SUM(H28:H34)</f>
        <v>0</v>
      </c>
    </row>
    <row r="36" spans="1:9" x14ac:dyDescent="0.35">
      <c r="E36" s="60">
        <v>150000</v>
      </c>
    </row>
    <row r="42" spans="1:9" x14ac:dyDescent="0.35">
      <c r="A42" t="s">
        <v>31</v>
      </c>
    </row>
  </sheetData>
  <mergeCells count="2">
    <mergeCell ref="K4:L7"/>
    <mergeCell ref="K8:L11"/>
  </mergeCells>
  <phoneticPr fontId="1" type="noConversion"/>
  <pageMargins left="0.75" right="0.75" top="1" bottom="1" header="0.5" footer="0.5"/>
  <pageSetup paperSize="9" orientation="portrait" horizontalDpi="0" verticalDpi="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C3B9-4F99-42E5-A886-6409D51B5FE5}">
  <dimension ref="A1:L44"/>
  <sheetViews>
    <sheetView topLeftCell="A10" zoomScale="78" zoomScaleNormal="115" workbookViewId="0">
      <selection activeCell="D36" sqref="D36"/>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6.7265625" style="74" customWidth="1"/>
    <col min="6" max="6" width="22" style="82" customWidth="1"/>
    <col min="7" max="7" width="18.1796875" customWidth="1"/>
    <col min="8" max="8" width="23.81640625" style="66" customWidth="1"/>
    <col min="9" max="9" width="75" customWidth="1"/>
    <col min="11" max="11" width="31.08984375" customWidth="1"/>
    <col min="12" max="12" width="11" customWidth="1"/>
  </cols>
  <sheetData>
    <row r="1" spans="1:12" ht="21" customHeight="1" x14ac:dyDescent="0.35">
      <c r="A1" s="1" t="s">
        <v>0</v>
      </c>
      <c r="B1" s="1" t="s">
        <v>8</v>
      </c>
      <c r="C1" s="3" t="s">
        <v>1</v>
      </c>
      <c r="D1" s="1" t="s">
        <v>12</v>
      </c>
      <c r="E1" s="55" t="s">
        <v>2</v>
      </c>
      <c r="F1" s="82" t="s">
        <v>17</v>
      </c>
      <c r="G1" s="1" t="s">
        <v>3</v>
      </c>
      <c r="H1" s="79" t="s">
        <v>64</v>
      </c>
      <c r="I1" s="1" t="s">
        <v>20</v>
      </c>
    </row>
    <row r="2" spans="1:12" ht="20.5" customHeight="1" x14ac:dyDescent="0.35">
      <c r="A2" s="2">
        <v>46109</v>
      </c>
      <c r="B2" s="1" t="s">
        <v>93</v>
      </c>
      <c r="C2" s="3" t="s">
        <v>15</v>
      </c>
      <c r="D2" s="1" t="s">
        <v>10</v>
      </c>
      <c r="E2" s="55">
        <v>40000</v>
      </c>
      <c r="F2" s="49" t="s">
        <v>94</v>
      </c>
      <c r="G2" s="1" t="s">
        <v>16</v>
      </c>
      <c r="H2" s="67" t="s">
        <v>95</v>
      </c>
      <c r="I2" s="98"/>
    </row>
    <row r="3" spans="1:12" ht="15" thickBot="1" x14ac:dyDescent="0.4">
      <c r="A3" s="2" t="s">
        <v>18</v>
      </c>
      <c r="B3" s="1" t="s">
        <v>93</v>
      </c>
      <c r="C3" s="3" t="s">
        <v>15</v>
      </c>
      <c r="D3" s="1" t="s">
        <v>10</v>
      </c>
      <c r="E3" s="58"/>
      <c r="F3" s="49"/>
      <c r="G3" s="1" t="s">
        <v>16</v>
      </c>
      <c r="H3" s="65"/>
      <c r="I3" s="1"/>
    </row>
    <row r="4" spans="1:12" x14ac:dyDescent="0.35">
      <c r="A4" s="2">
        <v>46083</v>
      </c>
      <c r="B4" s="1" t="s">
        <v>93</v>
      </c>
      <c r="C4" s="3" t="s">
        <v>15</v>
      </c>
      <c r="D4" s="1" t="s">
        <v>10</v>
      </c>
      <c r="E4" s="58">
        <v>30000</v>
      </c>
      <c r="F4" s="49"/>
      <c r="G4" s="1" t="s">
        <v>16</v>
      </c>
      <c r="H4" s="65"/>
      <c r="I4" s="53"/>
      <c r="K4" s="149" t="s">
        <v>55</v>
      </c>
      <c r="L4" s="150"/>
    </row>
    <row r="5" spans="1:12" x14ac:dyDescent="0.35">
      <c r="A5" s="2">
        <v>46084</v>
      </c>
      <c r="B5" s="1" t="s">
        <v>93</v>
      </c>
      <c r="C5" s="3" t="s">
        <v>15</v>
      </c>
      <c r="D5" s="1" t="s">
        <v>10</v>
      </c>
      <c r="E5" s="58">
        <v>20000</v>
      </c>
      <c r="F5" s="49"/>
      <c r="G5" s="1" t="s">
        <v>16</v>
      </c>
      <c r="H5" s="65"/>
      <c r="I5" s="85"/>
      <c r="K5" s="151"/>
      <c r="L5" s="152"/>
    </row>
    <row r="6" spans="1:12" x14ac:dyDescent="0.35">
      <c r="A6" s="2">
        <v>46085</v>
      </c>
      <c r="B6" s="1" t="s">
        <v>93</v>
      </c>
      <c r="C6" s="3" t="s">
        <v>15</v>
      </c>
      <c r="D6" s="1" t="s">
        <v>10</v>
      </c>
      <c r="E6" s="58">
        <v>20000</v>
      </c>
      <c r="F6" s="81"/>
      <c r="G6" s="1" t="s">
        <v>16</v>
      </c>
      <c r="H6" s="80"/>
      <c r="I6" s="86"/>
      <c r="K6" s="151"/>
      <c r="L6" s="152"/>
    </row>
    <row r="7" spans="1:12" x14ac:dyDescent="0.35">
      <c r="A7" s="2">
        <v>46086</v>
      </c>
      <c r="B7" s="1" t="s">
        <v>93</v>
      </c>
      <c r="C7" s="3" t="s">
        <v>15</v>
      </c>
      <c r="D7" s="1" t="s">
        <v>10</v>
      </c>
      <c r="E7" s="58">
        <v>20000</v>
      </c>
      <c r="F7" s="49"/>
      <c r="G7" s="1" t="s">
        <v>16</v>
      </c>
      <c r="H7" s="67"/>
      <c r="I7" s="87"/>
      <c r="K7" s="151"/>
      <c r="L7" s="152"/>
    </row>
    <row r="8" spans="1:12" ht="30.5" customHeight="1" x14ac:dyDescent="0.35">
      <c r="A8" s="2">
        <v>46087</v>
      </c>
      <c r="B8" s="1" t="s">
        <v>93</v>
      </c>
      <c r="C8" s="3" t="s">
        <v>15</v>
      </c>
      <c r="D8" s="1" t="s">
        <v>10</v>
      </c>
      <c r="E8" s="58"/>
      <c r="F8" s="49"/>
      <c r="G8" s="1" t="s">
        <v>16</v>
      </c>
      <c r="H8" s="65"/>
      <c r="I8" s="108" t="s">
        <v>98</v>
      </c>
      <c r="K8" s="153">
        <f>SUM(E10+E19+E29+E38)</f>
        <v>300000</v>
      </c>
      <c r="L8" s="154"/>
    </row>
    <row r="9" spans="1:12" x14ac:dyDescent="0.35">
      <c r="A9" s="2"/>
      <c r="B9" s="1"/>
      <c r="C9" s="3"/>
      <c r="D9" s="1"/>
      <c r="E9" s="75">
        <f>SUM(E2:E8)</f>
        <v>130000</v>
      </c>
      <c r="F9" s="75">
        <f>SUM(F2:F8)</f>
        <v>0</v>
      </c>
      <c r="G9" s="1" t="s">
        <v>16</v>
      </c>
      <c r="H9" s="59">
        <f>SUM(H2:H8)</f>
        <v>0</v>
      </c>
      <c r="I9" s="89" t="s">
        <v>97</v>
      </c>
      <c r="K9" s="153"/>
      <c r="L9" s="154"/>
    </row>
    <row r="10" spans="1:12" x14ac:dyDescent="0.35">
      <c r="A10" s="2"/>
      <c r="B10" s="1"/>
      <c r="C10" s="3"/>
      <c r="D10" s="1"/>
      <c r="E10" s="60">
        <v>150000</v>
      </c>
      <c r="F10" s="49"/>
      <c r="G10" s="1" t="s">
        <v>16</v>
      </c>
      <c r="H10" s="79"/>
      <c r="I10" s="106"/>
      <c r="K10" s="153"/>
      <c r="L10" s="154"/>
    </row>
    <row r="11" spans="1:12" ht="15" thickBot="1" x14ac:dyDescent="0.4">
      <c r="A11" s="2">
        <v>46088</v>
      </c>
      <c r="B11" s="1" t="s">
        <v>93</v>
      </c>
      <c r="C11" s="3" t="s">
        <v>15</v>
      </c>
      <c r="D11" s="1" t="s">
        <v>10</v>
      </c>
      <c r="E11" s="10">
        <v>25000</v>
      </c>
      <c r="F11" s="49">
        <v>15000</v>
      </c>
      <c r="G11" s="1" t="s">
        <v>16</v>
      </c>
      <c r="H11" s="65">
        <v>35000</v>
      </c>
      <c r="I11" s="91"/>
      <c r="K11" s="155"/>
      <c r="L11" s="156"/>
    </row>
    <row r="12" spans="1:12" x14ac:dyDescent="0.35">
      <c r="A12" s="2" t="s">
        <v>18</v>
      </c>
      <c r="B12" s="1" t="s">
        <v>93</v>
      </c>
      <c r="C12" s="3" t="s">
        <v>15</v>
      </c>
      <c r="D12" s="1" t="s">
        <v>10</v>
      </c>
      <c r="E12" s="6"/>
      <c r="F12" s="49"/>
      <c r="G12" s="1" t="s">
        <v>16</v>
      </c>
      <c r="H12" s="65"/>
      <c r="I12" s="90"/>
    </row>
    <row r="13" spans="1:12" x14ac:dyDescent="0.35">
      <c r="A13" s="2">
        <v>46090</v>
      </c>
      <c r="B13" s="1" t="s">
        <v>93</v>
      </c>
      <c r="C13" s="3" t="s">
        <v>15</v>
      </c>
      <c r="D13" s="1" t="s">
        <v>10</v>
      </c>
      <c r="E13" s="58"/>
      <c r="F13" s="49"/>
      <c r="G13" s="1" t="s">
        <v>16</v>
      </c>
      <c r="H13" s="65"/>
      <c r="I13" s="90"/>
    </row>
    <row r="14" spans="1:12" x14ac:dyDescent="0.35">
      <c r="A14" s="2">
        <v>46091</v>
      </c>
      <c r="B14" s="1" t="s">
        <v>93</v>
      </c>
      <c r="C14" s="3" t="s">
        <v>15</v>
      </c>
      <c r="D14" s="1" t="s">
        <v>10</v>
      </c>
      <c r="E14" s="58">
        <v>25000</v>
      </c>
      <c r="F14" s="49"/>
      <c r="G14" s="1" t="s">
        <v>16</v>
      </c>
      <c r="H14" s="65"/>
      <c r="I14" s="90"/>
    </row>
    <row r="15" spans="1:12" x14ac:dyDescent="0.35">
      <c r="A15" s="2">
        <v>46092</v>
      </c>
      <c r="B15" s="1" t="s">
        <v>93</v>
      </c>
      <c r="C15" s="3" t="s">
        <v>15</v>
      </c>
      <c r="D15" s="1" t="s">
        <v>10</v>
      </c>
      <c r="E15" s="55">
        <v>15000</v>
      </c>
      <c r="F15" s="49">
        <v>15000</v>
      </c>
      <c r="G15" s="1" t="s">
        <v>16</v>
      </c>
      <c r="H15" s="65"/>
      <c r="I15" s="90"/>
    </row>
    <row r="16" spans="1:12" x14ac:dyDescent="0.35">
      <c r="A16" s="2">
        <v>46093</v>
      </c>
      <c r="B16" s="1" t="s">
        <v>93</v>
      </c>
      <c r="C16" s="3" t="s">
        <v>15</v>
      </c>
      <c r="D16" s="1" t="s">
        <v>10</v>
      </c>
      <c r="E16" s="55">
        <v>25000</v>
      </c>
      <c r="F16" s="49">
        <v>15000</v>
      </c>
      <c r="G16" s="1" t="s">
        <v>16</v>
      </c>
      <c r="H16" s="65"/>
      <c r="I16" s="40" t="s">
        <v>102</v>
      </c>
    </row>
    <row r="17" spans="1:9" x14ac:dyDescent="0.35">
      <c r="A17" s="2">
        <v>46094</v>
      </c>
      <c r="B17" s="1" t="s">
        <v>93</v>
      </c>
      <c r="C17" s="3" t="s">
        <v>15</v>
      </c>
      <c r="D17" s="1" t="s">
        <v>10</v>
      </c>
      <c r="E17" s="55">
        <v>30000</v>
      </c>
      <c r="F17" s="49"/>
      <c r="G17" s="1" t="s">
        <v>16</v>
      </c>
      <c r="H17" s="65"/>
      <c r="I17" s="40" t="s">
        <v>101</v>
      </c>
    </row>
    <row r="18" spans="1:9" x14ac:dyDescent="0.35">
      <c r="B18" s="1"/>
      <c r="C18" s="3"/>
      <c r="D18" s="1"/>
      <c r="E18" s="61">
        <f>SUM(E11:E17)</f>
        <v>120000</v>
      </c>
      <c r="F18" s="75"/>
      <c r="G18" s="13"/>
      <c r="H18" s="68">
        <f>SUM(H11:H17)</f>
        <v>35000</v>
      </c>
      <c r="I18" s="90"/>
    </row>
    <row r="19" spans="1:9" x14ac:dyDescent="0.35">
      <c r="B19" s="1"/>
      <c r="D19" s="1"/>
      <c r="E19" s="60">
        <v>150000</v>
      </c>
      <c r="F19" s="83"/>
      <c r="G19" s="1"/>
      <c r="H19" s="65"/>
      <c r="I19" s="90"/>
    </row>
    <row r="20" spans="1:9" x14ac:dyDescent="0.35">
      <c r="A20" s="2" t="s">
        <v>13</v>
      </c>
      <c r="B20" s="1" t="s">
        <v>23</v>
      </c>
      <c r="C20" s="3" t="s">
        <v>24</v>
      </c>
      <c r="D20" s="1" t="s">
        <v>25</v>
      </c>
      <c r="E20" s="55" t="s">
        <v>26</v>
      </c>
      <c r="F20" s="49" t="s">
        <v>27</v>
      </c>
      <c r="G20" s="1" t="s">
        <v>28</v>
      </c>
      <c r="H20" s="65" t="s">
        <v>29</v>
      </c>
      <c r="I20" s="90" t="s">
        <v>30</v>
      </c>
    </row>
    <row r="21" spans="1:9" x14ac:dyDescent="0.35">
      <c r="A21" s="2">
        <v>46095</v>
      </c>
      <c r="B21" s="1" t="s">
        <v>93</v>
      </c>
      <c r="C21" s="3" t="s">
        <v>15</v>
      </c>
      <c r="D21" s="1" t="s">
        <v>10</v>
      </c>
      <c r="E21" s="49">
        <v>20000</v>
      </c>
      <c r="F21" s="49">
        <v>15000</v>
      </c>
      <c r="G21" s="1" t="s">
        <v>96</v>
      </c>
      <c r="H21" s="65"/>
      <c r="I21" s="90"/>
    </row>
    <row r="22" spans="1:9" x14ac:dyDescent="0.35">
      <c r="A22" s="2" t="s">
        <v>18</v>
      </c>
      <c r="B22" s="1" t="s">
        <v>93</v>
      </c>
      <c r="C22" s="3" t="s">
        <v>15</v>
      </c>
      <c r="D22" s="1" t="s">
        <v>10</v>
      </c>
      <c r="E22" s="49"/>
      <c r="F22" s="49"/>
      <c r="G22" s="1" t="s">
        <v>96</v>
      </c>
      <c r="H22" s="65"/>
      <c r="I22" s="91"/>
    </row>
    <row r="23" spans="1:9" x14ac:dyDescent="0.35">
      <c r="A23" s="2">
        <v>46097</v>
      </c>
      <c r="B23" s="1" t="s">
        <v>93</v>
      </c>
      <c r="C23" s="3" t="s">
        <v>15</v>
      </c>
      <c r="D23" s="1" t="s">
        <v>10</v>
      </c>
      <c r="E23" s="49">
        <v>20000</v>
      </c>
      <c r="F23" s="49">
        <v>15000</v>
      </c>
      <c r="G23" s="1" t="s">
        <v>96</v>
      </c>
      <c r="H23" s="65"/>
      <c r="I23" s="91"/>
    </row>
    <row r="24" spans="1:9" x14ac:dyDescent="0.35">
      <c r="A24" s="2">
        <v>46098</v>
      </c>
      <c r="B24" s="1" t="s">
        <v>93</v>
      </c>
      <c r="C24" s="3" t="s">
        <v>15</v>
      </c>
      <c r="D24" s="1" t="s">
        <v>10</v>
      </c>
      <c r="E24" s="49">
        <v>30000</v>
      </c>
      <c r="F24" s="49">
        <v>15000</v>
      </c>
      <c r="G24" s="1" t="s">
        <v>96</v>
      </c>
      <c r="H24" s="79"/>
      <c r="I24" s="91"/>
    </row>
    <row r="25" spans="1:9" x14ac:dyDescent="0.35">
      <c r="A25" s="2">
        <v>46099</v>
      </c>
      <c r="B25" s="1" t="s">
        <v>93</v>
      </c>
      <c r="C25" s="3" t="s">
        <v>15</v>
      </c>
      <c r="D25" s="1" t="s">
        <v>10</v>
      </c>
      <c r="E25" s="49">
        <v>30000</v>
      </c>
      <c r="F25" s="49">
        <v>15000</v>
      </c>
      <c r="G25" s="1" t="s">
        <v>96</v>
      </c>
      <c r="H25" s="65"/>
      <c r="I25" s="1"/>
    </row>
    <row r="26" spans="1:9" x14ac:dyDescent="0.35">
      <c r="A26" s="2">
        <v>46100</v>
      </c>
      <c r="B26" s="1" t="s">
        <v>93</v>
      </c>
      <c r="C26" s="3"/>
      <c r="D26" s="1"/>
      <c r="E26" s="49">
        <v>30000</v>
      </c>
      <c r="F26" s="49"/>
      <c r="G26" s="1" t="s">
        <v>96</v>
      </c>
      <c r="H26" s="65"/>
      <c r="I26" s="1"/>
    </row>
    <row r="27" spans="1:9" x14ac:dyDescent="0.35">
      <c r="A27" s="2">
        <v>46101</v>
      </c>
      <c r="B27" s="1" t="s">
        <v>93</v>
      </c>
      <c r="C27" s="3"/>
      <c r="D27" s="1"/>
      <c r="E27" s="49">
        <v>20000</v>
      </c>
      <c r="F27" s="49"/>
      <c r="G27" s="1" t="s">
        <v>96</v>
      </c>
      <c r="H27" s="65"/>
      <c r="I27" s="1"/>
    </row>
    <row r="28" spans="1:9" x14ac:dyDescent="0.35">
      <c r="A28" s="2"/>
      <c r="B28" s="1"/>
      <c r="C28" s="3"/>
      <c r="D28" s="1"/>
      <c r="E28" s="102">
        <f>SUM(Tableau4101213111416[Colonne5])</f>
        <v>150000</v>
      </c>
      <c r="F28" s="75"/>
      <c r="G28" s="1"/>
      <c r="H28" s="69"/>
      <c r="I28" s="105"/>
    </row>
    <row r="29" spans="1:9" x14ac:dyDescent="0.35">
      <c r="E29" s="60"/>
      <c r="F29" s="84"/>
      <c r="I29" s="36"/>
    </row>
    <row r="30" spans="1:9" x14ac:dyDescent="0.35">
      <c r="A30" s="7">
        <v>46102</v>
      </c>
      <c r="B30" s="6" t="s">
        <v>93</v>
      </c>
      <c r="C30" s="95" t="s">
        <v>15</v>
      </c>
      <c r="D30" s="94" t="s">
        <v>10</v>
      </c>
      <c r="E30" s="96">
        <v>25000</v>
      </c>
      <c r="F30" s="96">
        <v>15000</v>
      </c>
      <c r="G30" s="94" t="s">
        <v>16</v>
      </c>
      <c r="H30" s="103"/>
      <c r="I30" s="104"/>
    </row>
    <row r="31" spans="1:9" x14ac:dyDescent="0.35">
      <c r="A31" s="7" t="s">
        <v>18</v>
      </c>
      <c r="B31" s="6" t="s">
        <v>93</v>
      </c>
      <c r="C31" s="8" t="s">
        <v>15</v>
      </c>
      <c r="D31" s="6" t="s">
        <v>10</v>
      </c>
      <c r="E31" s="64"/>
      <c r="F31" s="64"/>
      <c r="G31" s="6" t="s">
        <v>16</v>
      </c>
      <c r="H31" s="71"/>
      <c r="I31" s="9"/>
    </row>
    <row r="32" spans="1:9" x14ac:dyDescent="0.35">
      <c r="A32" s="7">
        <v>46104</v>
      </c>
      <c r="B32" s="6" t="s">
        <v>93</v>
      </c>
      <c r="C32" s="11" t="s">
        <v>15</v>
      </c>
      <c r="D32" s="10" t="s">
        <v>10</v>
      </c>
      <c r="E32" s="96">
        <v>30000</v>
      </c>
      <c r="F32" s="64">
        <v>15000</v>
      </c>
      <c r="G32" s="10" t="s">
        <v>16</v>
      </c>
      <c r="H32" s="72"/>
      <c r="I32" s="12"/>
    </row>
    <row r="33" spans="1:9" x14ac:dyDescent="0.35">
      <c r="A33" s="7">
        <v>46105</v>
      </c>
      <c r="B33" s="6" t="s">
        <v>93</v>
      </c>
      <c r="C33" s="8" t="s">
        <v>15</v>
      </c>
      <c r="D33" s="6" t="s">
        <v>10</v>
      </c>
      <c r="E33" s="64">
        <v>30000</v>
      </c>
      <c r="F33" s="64">
        <v>10000</v>
      </c>
      <c r="G33" s="6" t="s">
        <v>16</v>
      </c>
      <c r="H33" s="70"/>
      <c r="I33" s="9"/>
    </row>
    <row r="34" spans="1:9" x14ac:dyDescent="0.35">
      <c r="A34" s="7">
        <v>46106</v>
      </c>
      <c r="B34" s="6" t="s">
        <v>93</v>
      </c>
      <c r="C34" s="8" t="s">
        <v>15</v>
      </c>
      <c r="D34" s="6" t="s">
        <v>10</v>
      </c>
      <c r="E34" s="64">
        <v>20000</v>
      </c>
      <c r="F34" s="64"/>
      <c r="G34" s="6" t="s">
        <v>16</v>
      </c>
      <c r="H34" s="70"/>
      <c r="I34" s="9"/>
    </row>
    <row r="35" spans="1:9" x14ac:dyDescent="0.35">
      <c r="A35" s="7">
        <v>46107</v>
      </c>
      <c r="B35" s="6" t="s">
        <v>93</v>
      </c>
      <c r="C35" s="11" t="s">
        <v>15</v>
      </c>
      <c r="D35" s="10" t="s">
        <v>10</v>
      </c>
      <c r="E35" s="64">
        <v>25000</v>
      </c>
      <c r="F35" s="64">
        <v>15000</v>
      </c>
      <c r="G35" s="10" t="s">
        <v>16</v>
      </c>
      <c r="H35" s="72"/>
      <c r="I35" s="12"/>
    </row>
    <row r="36" spans="1:9" x14ac:dyDescent="0.35">
      <c r="A36" s="7">
        <v>46108</v>
      </c>
      <c r="B36" s="6" t="s">
        <v>93</v>
      </c>
      <c r="C36" s="11" t="s">
        <v>15</v>
      </c>
      <c r="D36" s="10" t="s">
        <v>10</v>
      </c>
      <c r="E36" s="96"/>
      <c r="F36" s="64"/>
      <c r="G36" s="10" t="s">
        <v>16</v>
      </c>
      <c r="H36" s="70"/>
      <c r="I36" s="12"/>
    </row>
    <row r="37" spans="1:9" x14ac:dyDescent="0.35">
      <c r="E37" s="76">
        <f>SUM(E30:E36)</f>
        <v>130000</v>
      </c>
      <c r="F37" s="76"/>
      <c r="H37" s="73">
        <f>SUM(H30:H36)</f>
        <v>0</v>
      </c>
    </row>
    <row r="38" spans="1:9" x14ac:dyDescent="0.35">
      <c r="E38" s="60"/>
    </row>
    <row r="44" spans="1:9" x14ac:dyDescent="0.35">
      <c r="A44" t="s">
        <v>31</v>
      </c>
    </row>
  </sheetData>
  <mergeCells count="2">
    <mergeCell ref="K4:L7"/>
    <mergeCell ref="K8:L11"/>
  </mergeCells>
  <pageMargins left="0.75" right="0.75" top="1" bottom="1" header="0.5" footer="0.5"/>
  <pageSetup paperSize="9" orientation="portrait" horizontalDpi="0" verticalDpi="0"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BCD4-CC43-4CAC-9E17-84EE90AC4C7B}">
  <dimension ref="A1:L44"/>
  <sheetViews>
    <sheetView topLeftCell="E1" zoomScale="78" zoomScaleNormal="115" workbookViewId="0">
      <selection activeCell="K15" sqref="K15"/>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6.7265625" style="82" customWidth="1"/>
    <col min="6" max="6" width="22" style="82" customWidth="1"/>
    <col min="7" max="7" width="18.1796875" customWidth="1"/>
    <col min="8" max="8" width="26.90625" style="66" customWidth="1"/>
    <col min="9" max="9" width="75" customWidth="1"/>
    <col min="11" max="11" width="31.08984375" customWidth="1"/>
    <col min="12" max="12" width="11" customWidth="1"/>
  </cols>
  <sheetData>
    <row r="1" spans="1:12" ht="21" customHeight="1" x14ac:dyDescent="0.35">
      <c r="A1" s="1" t="s">
        <v>0</v>
      </c>
      <c r="B1" s="1" t="s">
        <v>8</v>
      </c>
      <c r="C1" s="3" t="s">
        <v>1</v>
      </c>
      <c r="D1" s="1" t="s">
        <v>12</v>
      </c>
      <c r="E1" s="49" t="s">
        <v>2</v>
      </c>
      <c r="F1" s="82" t="s">
        <v>17</v>
      </c>
      <c r="G1" s="1" t="s">
        <v>3</v>
      </c>
      <c r="H1" s="79" t="s">
        <v>64</v>
      </c>
      <c r="I1" s="1" t="s">
        <v>20</v>
      </c>
    </row>
    <row r="2" spans="1:12" ht="20.5" customHeight="1" x14ac:dyDescent="0.35">
      <c r="A2" s="2">
        <v>46109</v>
      </c>
      <c r="B2" s="1" t="s">
        <v>93</v>
      </c>
      <c r="C2" s="3" t="s">
        <v>15</v>
      </c>
      <c r="D2" s="1" t="s">
        <v>10</v>
      </c>
      <c r="E2" s="49"/>
      <c r="F2" s="49"/>
      <c r="G2" s="1" t="s">
        <v>16</v>
      </c>
      <c r="H2" s="67"/>
      <c r="I2" s="98"/>
    </row>
    <row r="3" spans="1:12" ht="15" thickBot="1" x14ac:dyDescent="0.4">
      <c r="A3" s="2" t="s">
        <v>18</v>
      </c>
      <c r="B3" s="1" t="s">
        <v>93</v>
      </c>
      <c r="C3" s="3" t="s">
        <v>15</v>
      </c>
      <c r="D3" s="1" t="s">
        <v>10</v>
      </c>
      <c r="E3" s="58"/>
      <c r="F3" s="49"/>
      <c r="G3" s="1" t="s">
        <v>16</v>
      </c>
      <c r="H3" s="65"/>
      <c r="I3" s="1"/>
    </row>
    <row r="4" spans="1:12" x14ac:dyDescent="0.35">
      <c r="A4" s="2">
        <v>46112</v>
      </c>
      <c r="B4" s="1" t="s">
        <v>93</v>
      </c>
      <c r="C4" s="3" t="s">
        <v>15</v>
      </c>
      <c r="D4" s="1" t="s">
        <v>10</v>
      </c>
      <c r="E4" s="58"/>
      <c r="F4" s="49"/>
      <c r="G4" s="1" t="s">
        <v>16</v>
      </c>
      <c r="H4" s="65"/>
      <c r="I4" s="53"/>
      <c r="K4" s="149" t="s">
        <v>154</v>
      </c>
      <c r="L4" s="150"/>
    </row>
    <row r="5" spans="1:12" x14ac:dyDescent="0.35">
      <c r="A5" s="2">
        <v>46112</v>
      </c>
      <c r="B5" s="1" t="s">
        <v>93</v>
      </c>
      <c r="C5" s="3" t="s">
        <v>15</v>
      </c>
      <c r="D5" s="1" t="s">
        <v>10</v>
      </c>
      <c r="E5" s="58"/>
      <c r="F5" s="49"/>
      <c r="G5" s="1" t="s">
        <v>16</v>
      </c>
      <c r="H5" s="65"/>
      <c r="I5" s="85"/>
      <c r="K5" s="151"/>
      <c r="L5" s="152"/>
    </row>
    <row r="6" spans="1:12" x14ac:dyDescent="0.35">
      <c r="A6" s="2">
        <v>46113</v>
      </c>
      <c r="B6" s="1" t="s">
        <v>153</v>
      </c>
      <c r="C6" s="3" t="s">
        <v>15</v>
      </c>
      <c r="D6" s="1" t="s">
        <v>10</v>
      </c>
      <c r="E6" s="58"/>
      <c r="F6" s="81"/>
      <c r="G6" s="1" t="s">
        <v>16</v>
      </c>
      <c r="H6" s="80"/>
      <c r="I6" s="86"/>
      <c r="K6" s="151"/>
      <c r="L6" s="152"/>
    </row>
    <row r="7" spans="1:12" x14ac:dyDescent="0.35">
      <c r="A7" s="2">
        <v>46114</v>
      </c>
      <c r="B7" s="1" t="s">
        <v>153</v>
      </c>
      <c r="C7" s="3" t="s">
        <v>15</v>
      </c>
      <c r="D7" s="1" t="s">
        <v>10</v>
      </c>
      <c r="E7" s="58"/>
      <c r="F7" s="49"/>
      <c r="G7" s="1" t="s">
        <v>16</v>
      </c>
      <c r="H7" s="67"/>
      <c r="I7" s="87"/>
      <c r="K7" s="151"/>
      <c r="L7" s="152"/>
    </row>
    <row r="8" spans="1:12" ht="30.5" customHeight="1" x14ac:dyDescent="0.35">
      <c r="A8" s="2">
        <v>46115</v>
      </c>
      <c r="B8" s="1" t="s">
        <v>153</v>
      </c>
      <c r="C8" s="3" t="s">
        <v>15</v>
      </c>
      <c r="D8" s="1" t="s">
        <v>10</v>
      </c>
      <c r="E8" s="58"/>
      <c r="F8" s="49"/>
      <c r="G8" s="1" t="s">
        <v>16</v>
      </c>
      <c r="H8" s="65"/>
      <c r="I8" s="108"/>
      <c r="K8" s="153">
        <f>SUM(E10+E19+E29+E38)</f>
        <v>625000</v>
      </c>
      <c r="L8" s="154"/>
    </row>
    <row r="9" spans="1:12" x14ac:dyDescent="0.35">
      <c r="A9" s="2"/>
      <c r="B9" s="1"/>
      <c r="C9" s="3"/>
      <c r="D9" s="1"/>
      <c r="E9" s="75">
        <v>0</v>
      </c>
      <c r="F9" s="75"/>
      <c r="G9" s="1" t="s">
        <v>16</v>
      </c>
      <c r="H9" s="59"/>
      <c r="I9" s="89"/>
      <c r="K9" s="153"/>
      <c r="L9" s="154"/>
    </row>
    <row r="10" spans="1:12" x14ac:dyDescent="0.35">
      <c r="A10" s="2"/>
      <c r="B10" s="1"/>
      <c r="C10" s="3"/>
      <c r="D10" s="1"/>
      <c r="E10" s="60">
        <v>150000</v>
      </c>
      <c r="F10" s="49"/>
      <c r="G10" s="1" t="s">
        <v>16</v>
      </c>
      <c r="H10" s="79"/>
      <c r="I10" s="106"/>
      <c r="K10" s="153"/>
      <c r="L10" s="154"/>
    </row>
    <row r="11" spans="1:12" ht="15" thickBot="1" x14ac:dyDescent="0.4">
      <c r="A11" s="2">
        <v>46116</v>
      </c>
      <c r="B11" s="1" t="s">
        <v>153</v>
      </c>
      <c r="C11" s="3" t="s">
        <v>15</v>
      </c>
      <c r="D11" s="1" t="s">
        <v>10</v>
      </c>
      <c r="E11" s="63">
        <v>25000</v>
      </c>
      <c r="F11" s="49"/>
      <c r="G11" s="1" t="s">
        <v>16</v>
      </c>
      <c r="H11" s="65"/>
      <c r="I11" s="91"/>
      <c r="K11" s="155"/>
      <c r="L11" s="156"/>
    </row>
    <row r="12" spans="1:12" x14ac:dyDescent="0.35">
      <c r="A12" s="2" t="s">
        <v>18</v>
      </c>
      <c r="B12" s="1" t="s">
        <v>153</v>
      </c>
      <c r="C12" s="3" t="s">
        <v>15</v>
      </c>
      <c r="D12" s="1" t="s">
        <v>10</v>
      </c>
      <c r="E12" s="64"/>
      <c r="F12" s="49"/>
      <c r="G12" s="1" t="s">
        <v>16</v>
      </c>
      <c r="H12" s="65"/>
      <c r="I12" s="90"/>
    </row>
    <row r="13" spans="1:12" x14ac:dyDescent="0.35">
      <c r="A13" s="2">
        <v>46118</v>
      </c>
      <c r="B13" s="1" t="s">
        <v>153</v>
      </c>
      <c r="C13" s="3" t="s">
        <v>15</v>
      </c>
      <c r="D13" s="1" t="s">
        <v>10</v>
      </c>
      <c r="E13" s="58" t="s">
        <v>156</v>
      </c>
      <c r="F13" s="49"/>
      <c r="G13" s="1" t="s">
        <v>16</v>
      </c>
      <c r="H13" s="65"/>
      <c r="I13" s="90"/>
    </row>
    <row r="14" spans="1:12" x14ac:dyDescent="0.35">
      <c r="A14" s="2">
        <v>46119</v>
      </c>
      <c r="B14" s="1" t="s">
        <v>153</v>
      </c>
      <c r="C14" s="3" t="s">
        <v>15</v>
      </c>
      <c r="D14" s="1" t="s">
        <v>10</v>
      </c>
      <c r="E14" s="58">
        <v>20000</v>
      </c>
      <c r="F14" s="49"/>
      <c r="G14" s="1" t="s">
        <v>16</v>
      </c>
      <c r="H14" s="65"/>
      <c r="I14" s="90"/>
    </row>
    <row r="15" spans="1:12" x14ac:dyDescent="0.35">
      <c r="A15" s="2">
        <v>46120</v>
      </c>
      <c r="B15" s="1" t="s">
        <v>153</v>
      </c>
      <c r="C15" s="3" t="s">
        <v>15</v>
      </c>
      <c r="D15" s="1" t="s">
        <v>10</v>
      </c>
      <c r="E15" s="49">
        <v>25000</v>
      </c>
      <c r="F15" s="49"/>
      <c r="G15" s="1" t="s">
        <v>16</v>
      </c>
      <c r="H15" s="65"/>
      <c r="I15" s="90"/>
    </row>
    <row r="16" spans="1:12" x14ac:dyDescent="0.35">
      <c r="A16" s="2">
        <v>46121</v>
      </c>
      <c r="B16" s="1" t="s">
        <v>153</v>
      </c>
      <c r="C16" s="3" t="s">
        <v>15</v>
      </c>
      <c r="D16" s="1" t="s">
        <v>10</v>
      </c>
      <c r="E16" s="49">
        <v>30000</v>
      </c>
      <c r="F16" s="49"/>
      <c r="G16" s="1" t="s">
        <v>16</v>
      </c>
      <c r="H16" s="65"/>
      <c r="I16" s="40"/>
    </row>
    <row r="17" spans="1:9" x14ac:dyDescent="0.35">
      <c r="A17" s="2">
        <v>46122</v>
      </c>
      <c r="B17" s="1" t="s">
        <v>153</v>
      </c>
      <c r="C17" s="3" t="s">
        <v>15</v>
      </c>
      <c r="D17" s="1" t="s">
        <v>10</v>
      </c>
      <c r="E17" s="49"/>
      <c r="F17" s="49"/>
      <c r="G17" s="1" t="s">
        <v>16</v>
      </c>
      <c r="H17" s="65"/>
      <c r="I17" s="40"/>
    </row>
    <row r="18" spans="1:9" x14ac:dyDescent="0.35">
      <c r="B18" s="1"/>
      <c r="C18" s="3"/>
      <c r="D18" s="1"/>
      <c r="E18" s="75">
        <f>SUM(E11:E17)</f>
        <v>100000</v>
      </c>
      <c r="F18" s="75"/>
      <c r="G18" s="13"/>
      <c r="H18" s="68"/>
      <c r="I18" s="90"/>
    </row>
    <row r="19" spans="1:9" x14ac:dyDescent="0.35">
      <c r="B19" s="1"/>
      <c r="D19" s="1"/>
      <c r="E19" s="60">
        <v>150000</v>
      </c>
      <c r="F19" s="83"/>
      <c r="G19" s="1"/>
      <c r="H19" s="65"/>
      <c r="I19" s="90"/>
    </row>
    <row r="20" spans="1:9" x14ac:dyDescent="0.35">
      <c r="A20" s="2" t="s">
        <v>13</v>
      </c>
      <c r="B20" s="1" t="s">
        <v>23</v>
      </c>
      <c r="C20" s="3" t="s">
        <v>24</v>
      </c>
      <c r="D20" s="1" t="s">
        <v>25</v>
      </c>
      <c r="E20" s="49" t="s">
        <v>26</v>
      </c>
      <c r="F20" s="49" t="s">
        <v>27</v>
      </c>
      <c r="G20" s="1" t="s">
        <v>28</v>
      </c>
      <c r="H20" s="65" t="s">
        <v>29</v>
      </c>
      <c r="I20" s="90" t="s">
        <v>30</v>
      </c>
    </row>
    <row r="21" spans="1:9" x14ac:dyDescent="0.35">
      <c r="A21" s="2">
        <v>46095</v>
      </c>
      <c r="B21" s="1" t="s">
        <v>93</v>
      </c>
      <c r="C21" s="3" t="s">
        <v>15</v>
      </c>
      <c r="D21" s="1" t="s">
        <v>10</v>
      </c>
      <c r="E21" s="49"/>
      <c r="F21" s="49"/>
      <c r="G21" s="1" t="s">
        <v>96</v>
      </c>
      <c r="H21" s="65"/>
      <c r="I21" s="90"/>
    </row>
    <row r="22" spans="1:9" x14ac:dyDescent="0.35">
      <c r="A22" s="2" t="s">
        <v>18</v>
      </c>
      <c r="B22" s="1" t="s">
        <v>93</v>
      </c>
      <c r="C22" s="3" t="s">
        <v>15</v>
      </c>
      <c r="D22" s="1" t="s">
        <v>10</v>
      </c>
      <c r="E22" s="49"/>
      <c r="F22" s="49"/>
      <c r="G22" s="1" t="s">
        <v>96</v>
      </c>
      <c r="H22" s="65" t="s">
        <v>160</v>
      </c>
      <c r="I22" s="91"/>
    </row>
    <row r="23" spans="1:9" x14ac:dyDescent="0.35">
      <c r="A23" s="2">
        <v>46097</v>
      </c>
      <c r="B23" s="1" t="s">
        <v>93</v>
      </c>
      <c r="C23" s="3" t="s">
        <v>15</v>
      </c>
      <c r="D23" s="1" t="s">
        <v>10</v>
      </c>
      <c r="E23" s="49"/>
      <c r="F23" s="49"/>
      <c r="G23" s="1" t="s">
        <v>96</v>
      </c>
      <c r="H23" s="65" t="s">
        <v>159</v>
      </c>
      <c r="I23" s="91"/>
    </row>
    <row r="24" spans="1:9" x14ac:dyDescent="0.35">
      <c r="A24" s="2">
        <v>46098</v>
      </c>
      <c r="B24" s="1" t="s">
        <v>93</v>
      </c>
      <c r="C24" s="3" t="s">
        <v>15</v>
      </c>
      <c r="D24" s="1" t="s">
        <v>10</v>
      </c>
      <c r="E24" s="49"/>
      <c r="F24" s="49"/>
      <c r="G24" s="1" t="s">
        <v>96</v>
      </c>
      <c r="H24" s="79"/>
      <c r="I24" s="91"/>
    </row>
    <row r="25" spans="1:9" x14ac:dyDescent="0.35">
      <c r="A25" s="2">
        <v>46099</v>
      </c>
      <c r="B25" s="1" t="s">
        <v>93</v>
      </c>
      <c r="C25" s="3" t="s">
        <v>15</v>
      </c>
      <c r="D25" s="1" t="s">
        <v>10</v>
      </c>
      <c r="E25" s="49"/>
      <c r="F25" s="49"/>
      <c r="G25" s="1" t="s">
        <v>96</v>
      </c>
      <c r="H25" s="65"/>
      <c r="I25" s="1"/>
    </row>
    <row r="26" spans="1:9" x14ac:dyDescent="0.35">
      <c r="A26" s="2">
        <v>46100</v>
      </c>
      <c r="B26" s="1" t="s">
        <v>93</v>
      </c>
      <c r="C26" s="3" t="s">
        <v>15</v>
      </c>
      <c r="D26" s="1" t="s">
        <v>10</v>
      </c>
      <c r="E26" s="49"/>
      <c r="F26" s="49"/>
      <c r="G26" s="1" t="s">
        <v>96</v>
      </c>
      <c r="H26" s="65"/>
      <c r="I26" s="1"/>
    </row>
    <row r="27" spans="1:9" x14ac:dyDescent="0.35">
      <c r="A27" s="2">
        <v>46101</v>
      </c>
      <c r="B27" s="1" t="s">
        <v>93</v>
      </c>
      <c r="C27" s="3" t="s">
        <v>15</v>
      </c>
      <c r="D27" s="1" t="s">
        <v>10</v>
      </c>
      <c r="E27" s="49"/>
      <c r="F27" s="49"/>
      <c r="G27" s="1" t="s">
        <v>96</v>
      </c>
      <c r="H27" s="65"/>
      <c r="I27" s="1"/>
    </row>
    <row r="28" spans="1:9" x14ac:dyDescent="0.35">
      <c r="A28" s="2"/>
      <c r="B28" s="1"/>
      <c r="C28" s="3"/>
      <c r="D28" s="1"/>
      <c r="E28" s="76" t="s">
        <v>158</v>
      </c>
      <c r="F28" s="75"/>
      <c r="G28" s="1"/>
      <c r="H28" s="69"/>
      <c r="I28" s="105"/>
    </row>
    <row r="29" spans="1:9" x14ac:dyDescent="0.35">
      <c r="E29" s="76">
        <v>150000</v>
      </c>
      <c r="F29" s="84"/>
      <c r="I29" s="36"/>
    </row>
    <row r="30" spans="1:9" x14ac:dyDescent="0.35">
      <c r="A30" s="7">
        <v>46102</v>
      </c>
      <c r="B30" s="6" t="s">
        <v>93</v>
      </c>
      <c r="C30" s="95" t="s">
        <v>15</v>
      </c>
      <c r="D30" s="94" t="s">
        <v>10</v>
      </c>
      <c r="E30" s="96"/>
      <c r="F30" s="96"/>
      <c r="G30" s="94" t="s">
        <v>16</v>
      </c>
      <c r="H30" s="103"/>
      <c r="I30" s="104"/>
    </row>
    <row r="31" spans="1:9" x14ac:dyDescent="0.35">
      <c r="A31" s="7" t="s">
        <v>18</v>
      </c>
      <c r="B31" s="6" t="s">
        <v>93</v>
      </c>
      <c r="C31" s="8" t="s">
        <v>15</v>
      </c>
      <c r="D31" s="6" t="s">
        <v>10</v>
      </c>
      <c r="E31" s="64"/>
      <c r="F31" s="64"/>
      <c r="G31" s="6" t="s">
        <v>16</v>
      </c>
      <c r="H31" s="72" t="s">
        <v>161</v>
      </c>
      <c r="I31" s="9"/>
    </row>
    <row r="32" spans="1:9" x14ac:dyDescent="0.35">
      <c r="A32" s="7">
        <v>46104</v>
      </c>
      <c r="B32" s="6" t="s">
        <v>93</v>
      </c>
      <c r="C32" s="11" t="s">
        <v>15</v>
      </c>
      <c r="D32" s="10" t="s">
        <v>10</v>
      </c>
      <c r="E32" s="96"/>
      <c r="F32" s="64"/>
      <c r="G32" s="10" t="s">
        <v>16</v>
      </c>
      <c r="H32" s="71" t="s">
        <v>162</v>
      </c>
      <c r="I32" s="12"/>
    </row>
    <row r="33" spans="1:9" x14ac:dyDescent="0.35">
      <c r="A33" s="7">
        <v>46105</v>
      </c>
      <c r="B33" s="6" t="s">
        <v>93</v>
      </c>
      <c r="C33" s="8" t="s">
        <v>15</v>
      </c>
      <c r="D33" s="6" t="s">
        <v>10</v>
      </c>
      <c r="E33" s="64"/>
      <c r="F33" s="64"/>
      <c r="G33" s="6" t="s">
        <v>16</v>
      </c>
      <c r="H33" s="70"/>
      <c r="I33" s="9"/>
    </row>
    <row r="34" spans="1:9" x14ac:dyDescent="0.35">
      <c r="A34" s="7">
        <v>46106</v>
      </c>
      <c r="B34" s="6" t="s">
        <v>93</v>
      </c>
      <c r="C34" s="8" t="s">
        <v>15</v>
      </c>
      <c r="D34" s="6" t="s">
        <v>10</v>
      </c>
      <c r="E34" s="64"/>
      <c r="F34" s="64"/>
      <c r="G34" s="6" t="s">
        <v>16</v>
      </c>
      <c r="H34" s="70"/>
      <c r="I34" s="9"/>
    </row>
    <row r="35" spans="1:9" x14ac:dyDescent="0.35">
      <c r="A35" s="7">
        <v>46107</v>
      </c>
      <c r="B35" s="6" t="s">
        <v>93</v>
      </c>
      <c r="C35" s="11" t="s">
        <v>15</v>
      </c>
      <c r="D35" s="10" t="s">
        <v>10</v>
      </c>
      <c r="E35" s="64"/>
      <c r="F35" s="64"/>
      <c r="G35" s="10" t="s">
        <v>16</v>
      </c>
      <c r="H35" s="72"/>
      <c r="I35" s="12"/>
    </row>
    <row r="36" spans="1:9" x14ac:dyDescent="0.35">
      <c r="A36" s="7">
        <v>46108</v>
      </c>
      <c r="B36" s="6" t="s">
        <v>93</v>
      </c>
      <c r="C36" s="11" t="s">
        <v>15</v>
      </c>
      <c r="D36" s="10" t="s">
        <v>10</v>
      </c>
      <c r="E36" s="96"/>
      <c r="F36" s="64"/>
      <c r="G36" s="10" t="s">
        <v>16</v>
      </c>
      <c r="H36" s="70"/>
      <c r="I36" s="12"/>
    </row>
    <row r="37" spans="1:9" x14ac:dyDescent="0.35">
      <c r="E37" s="76">
        <v>175000</v>
      </c>
      <c r="F37" s="76"/>
      <c r="H37" s="73">
        <f>SUM(H30:H36)</f>
        <v>0</v>
      </c>
    </row>
    <row r="38" spans="1:9" x14ac:dyDescent="0.35">
      <c r="E38" s="76">
        <v>175000</v>
      </c>
    </row>
    <row r="44" spans="1:9" x14ac:dyDescent="0.35">
      <c r="A44" t="s">
        <v>31</v>
      </c>
    </row>
  </sheetData>
  <mergeCells count="2">
    <mergeCell ref="K4:L7"/>
    <mergeCell ref="K8:L11"/>
  </mergeCells>
  <phoneticPr fontId="1" type="noConversion"/>
  <pageMargins left="0.75" right="0.75" top="1" bottom="1" header="0.5" footer="0.5"/>
  <pageSetup paperSize="9" orientation="portrait" horizontalDpi="0" verticalDpi="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CF61-E608-49EA-9FEF-D5FA701381C3}">
  <dimension ref="A1:L45"/>
  <sheetViews>
    <sheetView topLeftCell="G4" zoomScale="78" zoomScaleNormal="115" workbookViewId="0">
      <selection activeCell="G35" sqref="G35"/>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6.7265625" style="82" customWidth="1"/>
    <col min="6" max="6" width="22" style="82" customWidth="1"/>
    <col min="7" max="7" width="18.1796875" customWidth="1"/>
    <col min="8" max="8" width="48.08984375" style="66" customWidth="1"/>
    <col min="9" max="9" width="75" customWidth="1"/>
    <col min="11" max="11" width="31.08984375" customWidth="1"/>
    <col min="12" max="12" width="11" customWidth="1"/>
  </cols>
  <sheetData>
    <row r="1" spans="1:12" ht="21" customHeight="1" x14ac:dyDescent="0.35">
      <c r="A1" s="1" t="s">
        <v>0</v>
      </c>
      <c r="B1" s="1" t="s">
        <v>8</v>
      </c>
      <c r="C1" s="3" t="s">
        <v>1</v>
      </c>
      <c r="D1" s="1" t="s">
        <v>12</v>
      </c>
      <c r="E1" s="49" t="s">
        <v>2</v>
      </c>
      <c r="F1" s="82" t="s">
        <v>17</v>
      </c>
      <c r="G1" s="1" t="s">
        <v>3</v>
      </c>
      <c r="H1" s="79" t="s">
        <v>64</v>
      </c>
      <c r="I1" s="1" t="s">
        <v>20</v>
      </c>
    </row>
    <row r="2" spans="1:12" ht="20.5" customHeight="1" x14ac:dyDescent="0.35">
      <c r="A2" s="2">
        <v>46144</v>
      </c>
      <c r="B2" s="1" t="s">
        <v>165</v>
      </c>
      <c r="C2" s="3" t="s">
        <v>15</v>
      </c>
      <c r="D2" s="1" t="s">
        <v>10</v>
      </c>
      <c r="E2" s="49">
        <v>25000</v>
      </c>
      <c r="F2" s="49"/>
      <c r="G2" s="1" t="s">
        <v>16</v>
      </c>
      <c r="H2" s="67"/>
      <c r="I2" s="98"/>
    </row>
    <row r="3" spans="1:12" ht="15" thickBot="1" x14ac:dyDescent="0.4">
      <c r="A3" s="2" t="s">
        <v>18</v>
      </c>
      <c r="B3" s="1" t="s">
        <v>165</v>
      </c>
      <c r="C3" s="3" t="s">
        <v>15</v>
      </c>
      <c r="D3" s="1" t="s">
        <v>10</v>
      </c>
      <c r="E3" s="58"/>
      <c r="F3" s="49"/>
      <c r="G3" s="1" t="s">
        <v>16</v>
      </c>
      <c r="H3" s="65"/>
      <c r="I3" s="1"/>
    </row>
    <row r="4" spans="1:12" x14ac:dyDescent="0.35">
      <c r="A4" s="2">
        <v>46146</v>
      </c>
      <c r="B4" s="1" t="s">
        <v>165</v>
      </c>
      <c r="C4" s="3" t="s">
        <v>15</v>
      </c>
      <c r="D4" s="1" t="s">
        <v>10</v>
      </c>
      <c r="E4" s="49">
        <v>25000</v>
      </c>
      <c r="F4" s="49"/>
      <c r="G4" s="1" t="s">
        <v>16</v>
      </c>
      <c r="H4" s="65"/>
      <c r="I4" s="53"/>
      <c r="K4" s="149" t="s">
        <v>154</v>
      </c>
      <c r="L4" s="150"/>
    </row>
    <row r="5" spans="1:12" x14ac:dyDescent="0.35">
      <c r="A5" s="2">
        <v>46147</v>
      </c>
      <c r="B5" s="1" t="s">
        <v>165</v>
      </c>
      <c r="C5" s="3" t="s">
        <v>15</v>
      </c>
      <c r="D5" s="1" t="s">
        <v>10</v>
      </c>
      <c r="E5" s="49">
        <v>25000</v>
      </c>
      <c r="F5" s="49"/>
      <c r="G5" s="1" t="s">
        <v>16</v>
      </c>
      <c r="H5" s="65"/>
      <c r="I5" s="85"/>
      <c r="K5" s="151"/>
      <c r="L5" s="152"/>
    </row>
    <row r="6" spans="1:12" x14ac:dyDescent="0.35">
      <c r="A6" s="2">
        <v>46148</v>
      </c>
      <c r="B6" s="1" t="s">
        <v>165</v>
      </c>
      <c r="C6" s="3" t="s">
        <v>15</v>
      </c>
      <c r="D6" s="1" t="s">
        <v>10</v>
      </c>
      <c r="E6" s="49">
        <v>25000</v>
      </c>
      <c r="F6" s="81"/>
      <c r="G6" s="1" t="s">
        <v>16</v>
      </c>
      <c r="H6" s="72"/>
      <c r="I6" s="86"/>
      <c r="K6" s="151"/>
      <c r="L6" s="152"/>
    </row>
    <row r="7" spans="1:12" x14ac:dyDescent="0.35">
      <c r="A7" s="2">
        <v>46149</v>
      </c>
      <c r="B7" s="1" t="s">
        <v>165</v>
      </c>
      <c r="C7" s="3" t="s">
        <v>15</v>
      </c>
      <c r="D7" s="1" t="s">
        <v>10</v>
      </c>
      <c r="E7" s="49">
        <v>25000</v>
      </c>
      <c r="F7" s="49"/>
      <c r="G7" s="1" t="s">
        <v>16</v>
      </c>
      <c r="H7" s="71" t="s">
        <v>167</v>
      </c>
      <c r="I7" s="87"/>
      <c r="K7" s="151"/>
      <c r="L7" s="152"/>
    </row>
    <row r="8" spans="1:12" ht="30.5" customHeight="1" x14ac:dyDescent="0.35">
      <c r="A8" s="2">
        <v>46150</v>
      </c>
      <c r="B8" s="1" t="s">
        <v>165</v>
      </c>
      <c r="C8" s="3" t="s">
        <v>15</v>
      </c>
      <c r="D8" s="1" t="s">
        <v>10</v>
      </c>
      <c r="E8" s="49">
        <v>25000</v>
      </c>
      <c r="F8" s="49"/>
      <c r="G8" s="1" t="s">
        <v>16</v>
      </c>
      <c r="H8" s="65"/>
      <c r="I8" s="108"/>
      <c r="K8" s="153">
        <f>SUM(E10+E21+E31+E39)</f>
        <v>500000</v>
      </c>
      <c r="L8" s="154"/>
    </row>
    <row r="9" spans="1:12" x14ac:dyDescent="0.35">
      <c r="A9" s="2"/>
      <c r="B9" s="1"/>
      <c r="C9" s="3"/>
      <c r="D9" s="1"/>
      <c r="E9" s="75">
        <f>SUM(E2:E8)</f>
        <v>150000</v>
      </c>
      <c r="F9" s="75"/>
      <c r="G9" s="1" t="s">
        <v>16</v>
      </c>
      <c r="H9" s="59"/>
      <c r="I9" s="89"/>
      <c r="K9" s="153"/>
      <c r="L9" s="154"/>
    </row>
    <row r="10" spans="1:12" x14ac:dyDescent="0.35">
      <c r="A10" s="2"/>
      <c r="B10" s="1"/>
      <c r="C10" s="3"/>
      <c r="D10" s="1"/>
      <c r="E10" s="60">
        <v>150000</v>
      </c>
      <c r="F10" s="49"/>
      <c r="G10" s="1" t="s">
        <v>16</v>
      </c>
      <c r="H10" s="79"/>
      <c r="I10" s="106"/>
      <c r="K10" s="153"/>
      <c r="L10" s="154"/>
    </row>
    <row r="11" spans="1:12" ht="15" thickBot="1" x14ac:dyDescent="0.4">
      <c r="A11" s="2">
        <v>46151</v>
      </c>
      <c r="B11" s="1"/>
      <c r="C11" s="3" t="s">
        <v>15</v>
      </c>
      <c r="D11" s="1" t="s">
        <v>10</v>
      </c>
      <c r="E11" s="63">
        <v>15000</v>
      </c>
      <c r="F11" s="49"/>
      <c r="G11" s="1" t="s">
        <v>16</v>
      </c>
      <c r="H11" s="65"/>
      <c r="I11" s="91"/>
      <c r="K11" s="155"/>
      <c r="L11" s="156"/>
    </row>
    <row r="12" spans="1:12" x14ac:dyDescent="0.35">
      <c r="A12" s="2" t="s">
        <v>18</v>
      </c>
      <c r="B12" s="1"/>
      <c r="C12" s="3" t="s">
        <v>15</v>
      </c>
      <c r="D12" s="1" t="s">
        <v>10</v>
      </c>
      <c r="E12" s="64"/>
      <c r="F12" s="49"/>
      <c r="G12" s="1" t="s">
        <v>16</v>
      </c>
      <c r="H12" s="65"/>
      <c r="I12" s="90"/>
    </row>
    <row r="13" spans="1:12" x14ac:dyDescent="0.35">
      <c r="A13" s="2">
        <v>46153</v>
      </c>
      <c r="B13" s="1"/>
      <c r="C13" s="3" t="s">
        <v>15</v>
      </c>
      <c r="D13" s="1" t="s">
        <v>10</v>
      </c>
      <c r="E13" s="58">
        <v>30000</v>
      </c>
      <c r="F13" s="49"/>
      <c r="G13" s="1" t="s">
        <v>16</v>
      </c>
      <c r="H13" s="65"/>
      <c r="I13" s="90"/>
    </row>
    <row r="14" spans="1:12" x14ac:dyDescent="0.35">
      <c r="A14" s="2">
        <v>46154</v>
      </c>
      <c r="B14" s="1"/>
      <c r="C14" s="3" t="s">
        <v>15</v>
      </c>
      <c r="D14" s="1" t="s">
        <v>10</v>
      </c>
      <c r="E14" s="58">
        <v>30000</v>
      </c>
      <c r="F14" s="49"/>
      <c r="G14" s="1" t="s">
        <v>16</v>
      </c>
      <c r="H14" s="65" t="s">
        <v>171</v>
      </c>
      <c r="I14" s="90"/>
    </row>
    <row r="15" spans="1:12" ht="41.5" customHeight="1" x14ac:dyDescent="0.35">
      <c r="A15" s="2">
        <v>46155</v>
      </c>
      <c r="B15" s="1"/>
      <c r="C15" s="3" t="s">
        <v>15</v>
      </c>
      <c r="D15" s="1" t="s">
        <v>10</v>
      </c>
      <c r="E15" s="58">
        <v>15000</v>
      </c>
      <c r="F15" s="49"/>
      <c r="G15" s="1" t="s">
        <v>16</v>
      </c>
      <c r="H15" s="79" t="s">
        <v>168</v>
      </c>
      <c r="I15" s="90"/>
    </row>
    <row r="16" spans="1:12" x14ac:dyDescent="0.35">
      <c r="A16" s="2">
        <v>46156</v>
      </c>
      <c r="B16" s="1"/>
      <c r="C16" s="3" t="s">
        <v>15</v>
      </c>
      <c r="D16" s="1" t="s">
        <v>10</v>
      </c>
      <c r="E16" s="49"/>
      <c r="F16" s="49"/>
      <c r="G16" s="1" t="s">
        <v>16</v>
      </c>
      <c r="H16" s="65"/>
      <c r="I16" s="40"/>
    </row>
    <row r="17" spans="1:9" x14ac:dyDescent="0.35">
      <c r="A17" s="32" t="s">
        <v>169</v>
      </c>
      <c r="B17" s="1"/>
      <c r="C17" s="3" t="s">
        <v>15</v>
      </c>
      <c r="D17" s="1" t="s">
        <v>10</v>
      </c>
      <c r="E17" s="49"/>
      <c r="F17" s="49"/>
      <c r="G17" s="1" t="s">
        <v>16</v>
      </c>
      <c r="H17" s="65"/>
      <c r="I17" s="40"/>
    </row>
    <row r="18" spans="1:9" x14ac:dyDescent="0.35">
      <c r="A18" s="2">
        <v>46157</v>
      </c>
      <c r="B18" s="1"/>
      <c r="C18" s="3" t="s">
        <v>15</v>
      </c>
      <c r="D18" s="1" t="s">
        <v>10</v>
      </c>
      <c r="E18" s="49"/>
      <c r="F18" s="49"/>
      <c r="G18" s="1" t="s">
        <v>16</v>
      </c>
      <c r="H18" s="65"/>
      <c r="I18" s="91"/>
    </row>
    <row r="19" spans="1:9" x14ac:dyDescent="0.35">
      <c r="A19" s="2"/>
      <c r="B19" s="1"/>
      <c r="C19" s="3"/>
      <c r="D19" s="1"/>
      <c r="E19" s="49"/>
      <c r="F19" s="49"/>
      <c r="G19" s="1"/>
      <c r="H19" s="65"/>
      <c r="I19" s="91"/>
    </row>
    <row r="20" spans="1:9" x14ac:dyDescent="0.35">
      <c r="B20" s="1"/>
      <c r="C20" s="3"/>
      <c r="D20" s="1"/>
      <c r="E20" s="75">
        <f>SUM(E11:E17)</f>
        <v>90000</v>
      </c>
      <c r="F20" s="75"/>
      <c r="G20" s="13"/>
      <c r="H20" s="68"/>
      <c r="I20" s="90"/>
    </row>
    <row r="21" spans="1:9" x14ac:dyDescent="0.35">
      <c r="B21" s="1"/>
      <c r="D21" s="1"/>
      <c r="E21" s="60">
        <v>150000</v>
      </c>
      <c r="F21" s="83"/>
      <c r="G21" s="1"/>
      <c r="H21" s="65"/>
      <c r="I21" s="90"/>
    </row>
    <row r="22" spans="1:9" x14ac:dyDescent="0.35">
      <c r="A22" s="2" t="s">
        <v>13</v>
      </c>
      <c r="B22" s="1" t="s">
        <v>23</v>
      </c>
      <c r="C22" s="3" t="s">
        <v>24</v>
      </c>
      <c r="D22" s="1" t="s">
        <v>25</v>
      </c>
      <c r="E22" s="49" t="s">
        <v>26</v>
      </c>
      <c r="F22" s="49" t="s">
        <v>27</v>
      </c>
      <c r="G22" s="1" t="s">
        <v>28</v>
      </c>
      <c r="H22" s="65" t="s">
        <v>29</v>
      </c>
      <c r="I22" s="90" t="s">
        <v>30</v>
      </c>
    </row>
    <row r="23" spans="1:9" x14ac:dyDescent="0.35">
      <c r="A23" s="2">
        <v>46158</v>
      </c>
      <c r="B23" s="1"/>
      <c r="C23" s="3" t="s">
        <v>15</v>
      </c>
      <c r="D23" s="1" t="s">
        <v>10</v>
      </c>
      <c r="E23" s="49">
        <v>20000</v>
      </c>
      <c r="F23" s="49"/>
      <c r="G23" s="1" t="s">
        <v>96</v>
      </c>
      <c r="H23" s="65" t="s">
        <v>170</v>
      </c>
      <c r="I23" s="90"/>
    </row>
    <row r="24" spans="1:9" x14ac:dyDescent="0.35">
      <c r="A24" s="2" t="s">
        <v>18</v>
      </c>
      <c r="B24" s="1"/>
      <c r="C24" s="3" t="s">
        <v>15</v>
      </c>
      <c r="D24" s="1" t="s">
        <v>10</v>
      </c>
      <c r="E24" s="49"/>
      <c r="F24" s="49"/>
      <c r="G24" s="1" t="s">
        <v>96</v>
      </c>
      <c r="H24" s="65" t="s">
        <v>159</v>
      </c>
      <c r="I24" s="91"/>
    </row>
    <row r="25" spans="1:9" x14ac:dyDescent="0.35">
      <c r="A25" s="2">
        <v>46160</v>
      </c>
      <c r="B25" s="1"/>
      <c r="C25" s="3" t="s">
        <v>15</v>
      </c>
      <c r="D25" s="1" t="s">
        <v>10</v>
      </c>
      <c r="E25" s="49">
        <v>20000</v>
      </c>
      <c r="F25" s="49"/>
      <c r="G25" s="1" t="s">
        <v>96</v>
      </c>
      <c r="H25" s="65"/>
      <c r="I25" s="91"/>
    </row>
    <row r="26" spans="1:9" x14ac:dyDescent="0.35">
      <c r="A26" s="2">
        <v>46161</v>
      </c>
      <c r="B26" s="1"/>
      <c r="C26" s="3" t="s">
        <v>15</v>
      </c>
      <c r="D26" s="1" t="s">
        <v>10</v>
      </c>
      <c r="E26" s="49">
        <v>35000</v>
      </c>
      <c r="F26" s="49"/>
      <c r="G26" s="1" t="s">
        <v>96</v>
      </c>
      <c r="H26" s="79"/>
      <c r="I26" s="91"/>
    </row>
    <row r="27" spans="1:9" x14ac:dyDescent="0.35">
      <c r="A27" s="2">
        <v>46162</v>
      </c>
      <c r="B27" s="1"/>
      <c r="C27" s="3" t="s">
        <v>15</v>
      </c>
      <c r="D27" s="1" t="s">
        <v>10</v>
      </c>
      <c r="E27" s="49">
        <v>25000</v>
      </c>
      <c r="F27" s="49"/>
      <c r="G27" s="1" t="s">
        <v>96</v>
      </c>
      <c r="H27" s="65"/>
      <c r="I27" s="1"/>
    </row>
    <row r="28" spans="1:9" x14ac:dyDescent="0.35">
      <c r="A28" s="2">
        <v>46163</v>
      </c>
      <c r="B28" s="1"/>
      <c r="C28" s="3" t="s">
        <v>15</v>
      </c>
      <c r="D28" s="1" t="s">
        <v>10</v>
      </c>
      <c r="E28" s="49">
        <v>25000</v>
      </c>
      <c r="F28" s="49"/>
      <c r="G28" s="1" t="s">
        <v>96</v>
      </c>
      <c r="H28" s="65"/>
      <c r="I28" s="1"/>
    </row>
    <row r="29" spans="1:9" x14ac:dyDescent="0.35">
      <c r="A29" s="2">
        <v>46164</v>
      </c>
      <c r="B29" s="1"/>
      <c r="C29" s="3" t="s">
        <v>15</v>
      </c>
      <c r="D29" s="1" t="s">
        <v>10</v>
      </c>
      <c r="E29" s="49">
        <v>25000</v>
      </c>
      <c r="F29" s="49"/>
      <c r="G29" s="1" t="s">
        <v>96</v>
      </c>
      <c r="H29" s="65"/>
      <c r="I29" s="1"/>
    </row>
    <row r="30" spans="1:9" x14ac:dyDescent="0.35">
      <c r="A30" s="2"/>
      <c r="B30" s="1"/>
      <c r="C30" s="3"/>
      <c r="D30" s="1"/>
      <c r="E30" s="76">
        <f>SUM(Tableau4101213111420[Colonne5])</f>
        <v>150000</v>
      </c>
      <c r="F30" s="75"/>
      <c r="G30" s="1"/>
      <c r="H30" s="69"/>
      <c r="I30" s="105"/>
    </row>
    <row r="31" spans="1:9" x14ac:dyDescent="0.35">
      <c r="E31" s="76">
        <v>100000</v>
      </c>
      <c r="F31" s="84"/>
      <c r="I31" s="36"/>
    </row>
    <row r="32" spans="1:9" x14ac:dyDescent="0.35">
      <c r="A32" s="7">
        <v>46167</v>
      </c>
      <c r="B32" s="6"/>
      <c r="C32" s="8" t="s">
        <v>15</v>
      </c>
      <c r="D32" s="6" t="s">
        <v>10</v>
      </c>
      <c r="E32" s="64">
        <v>33000</v>
      </c>
      <c r="F32" s="64">
        <v>15000</v>
      </c>
      <c r="G32" s="6" t="s">
        <v>16</v>
      </c>
      <c r="H32" s="71" t="s">
        <v>170</v>
      </c>
      <c r="I32" s="9"/>
    </row>
    <row r="33" spans="1:9" x14ac:dyDescent="0.35">
      <c r="A33" s="7">
        <v>46168</v>
      </c>
      <c r="B33" s="6"/>
      <c r="C33" s="11" t="s">
        <v>15</v>
      </c>
      <c r="D33" s="6" t="s">
        <v>10</v>
      </c>
      <c r="E33" s="64">
        <v>25000</v>
      </c>
      <c r="F33" s="64">
        <v>15000</v>
      </c>
      <c r="G33" s="6" t="s">
        <v>16</v>
      </c>
      <c r="H33" s="72" t="s">
        <v>159</v>
      </c>
      <c r="I33" s="9"/>
    </row>
    <row r="34" spans="1:9" x14ac:dyDescent="0.35">
      <c r="A34" s="7">
        <v>46169</v>
      </c>
      <c r="B34" s="6"/>
      <c r="C34" s="8" t="s">
        <v>15</v>
      </c>
      <c r="D34" s="6" t="s">
        <v>10</v>
      </c>
      <c r="E34" s="64">
        <v>14000</v>
      </c>
      <c r="F34" s="64">
        <v>15000</v>
      </c>
      <c r="G34" s="10" t="s">
        <v>16</v>
      </c>
      <c r="H34" s="72"/>
      <c r="I34" s="12"/>
    </row>
    <row r="35" spans="1:9" x14ac:dyDescent="0.35">
      <c r="A35" s="7">
        <v>46170</v>
      </c>
      <c r="B35" s="6"/>
      <c r="C35" s="11" t="s">
        <v>15</v>
      </c>
      <c r="D35" s="6" t="s">
        <v>10</v>
      </c>
      <c r="E35" s="96">
        <v>45000</v>
      </c>
      <c r="F35" s="64">
        <v>15000</v>
      </c>
      <c r="G35" s="10" t="s">
        <v>16</v>
      </c>
      <c r="H35" s="70"/>
      <c r="I35" s="12"/>
    </row>
    <row r="36" spans="1:9" x14ac:dyDescent="0.35">
      <c r="A36" s="7">
        <v>46171</v>
      </c>
      <c r="B36" s="113"/>
      <c r="C36" s="8" t="s">
        <v>15</v>
      </c>
      <c r="D36" s="6" t="s">
        <v>10</v>
      </c>
      <c r="E36" s="96"/>
      <c r="F36" s="64"/>
      <c r="G36" s="10" t="s">
        <v>16</v>
      </c>
      <c r="H36" s="70"/>
      <c r="I36" s="114"/>
    </row>
    <row r="37" spans="1:9" x14ac:dyDescent="0.35">
      <c r="A37" s="7">
        <v>46172</v>
      </c>
      <c r="B37" s="113"/>
      <c r="C37" s="11" t="s">
        <v>15</v>
      </c>
      <c r="D37" s="6" t="s">
        <v>10</v>
      </c>
      <c r="E37" s="96"/>
      <c r="F37" s="115"/>
      <c r="G37" s="10" t="s">
        <v>16</v>
      </c>
      <c r="H37" s="70"/>
      <c r="I37" s="114"/>
    </row>
    <row r="38" spans="1:9" x14ac:dyDescent="0.35">
      <c r="E38" s="76">
        <f>SUM(E32:E35)</f>
        <v>117000</v>
      </c>
      <c r="F38" s="76"/>
      <c r="H38" s="73">
        <f>SUM(H32:H35)</f>
        <v>0</v>
      </c>
    </row>
    <row r="39" spans="1:9" x14ac:dyDescent="0.35">
      <c r="E39" s="76">
        <v>100000</v>
      </c>
    </row>
    <row r="45" spans="1:9" x14ac:dyDescent="0.35">
      <c r="A45" t="s">
        <v>31</v>
      </c>
    </row>
  </sheetData>
  <mergeCells count="2">
    <mergeCell ref="K4:L7"/>
    <mergeCell ref="K8:L11"/>
  </mergeCells>
  <pageMargins left="0.75" right="0.75" top="1" bottom="1" header="0.5" footer="0.5"/>
  <pageSetup paperSize="9" orientation="portrait" horizontalDpi="0" verticalDpi="0"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3218-E57B-4610-B849-DB8B7298CBDC}">
  <dimension ref="A1:L45"/>
  <sheetViews>
    <sheetView topLeftCell="A14" zoomScale="78" zoomScaleNormal="115" workbookViewId="0">
      <selection activeCell="F35" sqref="F35"/>
    </sheetView>
  </sheetViews>
  <sheetFormatPr baseColWidth="10" defaultColWidth="8.7265625" defaultRowHeight="14.5" x14ac:dyDescent="0.35"/>
  <cols>
    <col min="1" max="1" width="14.1796875" customWidth="1"/>
    <col min="2" max="2" width="11.26953125" customWidth="1"/>
    <col min="3" max="3" width="15.26953125" style="4" bestFit="1" customWidth="1"/>
    <col min="4" max="4" width="18.54296875" customWidth="1"/>
    <col min="5" max="5" width="16.7265625" style="82" customWidth="1"/>
    <col min="6" max="6" width="22" style="82" customWidth="1"/>
    <col min="7" max="7" width="18.1796875" customWidth="1"/>
    <col min="8" max="8" width="48.08984375" style="66" customWidth="1"/>
    <col min="9" max="9" width="20" customWidth="1"/>
    <col min="11" max="11" width="31.08984375" customWidth="1"/>
    <col min="12" max="12" width="11" customWidth="1"/>
  </cols>
  <sheetData>
    <row r="1" spans="1:12" ht="21" customHeight="1" x14ac:dyDescent="0.35">
      <c r="A1" s="1" t="s">
        <v>0</v>
      </c>
      <c r="B1" s="1" t="s">
        <v>8</v>
      </c>
      <c r="C1" s="3" t="s">
        <v>1</v>
      </c>
      <c r="D1" s="1" t="s">
        <v>12</v>
      </c>
      <c r="E1" s="49" t="s">
        <v>2</v>
      </c>
      <c r="F1" s="82" t="s">
        <v>17</v>
      </c>
      <c r="G1" s="1" t="s">
        <v>3</v>
      </c>
      <c r="H1" s="79" t="s">
        <v>64</v>
      </c>
      <c r="I1" s="1" t="s">
        <v>20</v>
      </c>
    </row>
    <row r="2" spans="1:12" ht="20.5" customHeight="1" x14ac:dyDescent="0.35">
      <c r="A2" s="2">
        <v>46174</v>
      </c>
      <c r="B2" s="1" t="s">
        <v>172</v>
      </c>
      <c r="C2" s="3" t="s">
        <v>15</v>
      </c>
      <c r="D2" s="1" t="s">
        <v>10</v>
      </c>
      <c r="E2" s="49">
        <v>25000</v>
      </c>
      <c r="F2" s="49">
        <v>15000</v>
      </c>
      <c r="G2" s="1" t="s">
        <v>16</v>
      </c>
      <c r="H2" s="67" t="s">
        <v>159</v>
      </c>
      <c r="I2" s="98"/>
    </row>
    <row r="3" spans="1:12" ht="15" thickBot="1" x14ac:dyDescent="0.4">
      <c r="A3" s="2">
        <v>46175</v>
      </c>
      <c r="B3" s="1" t="s">
        <v>172</v>
      </c>
      <c r="C3" s="3" t="s">
        <v>15</v>
      </c>
      <c r="D3" s="1" t="s">
        <v>10</v>
      </c>
      <c r="E3" s="58">
        <v>15000</v>
      </c>
      <c r="F3" s="49">
        <v>15000</v>
      </c>
      <c r="G3" s="1" t="s">
        <v>16</v>
      </c>
      <c r="H3" s="65" t="s">
        <v>173</v>
      </c>
      <c r="I3" s="1"/>
    </row>
    <row r="4" spans="1:12" x14ac:dyDescent="0.35">
      <c r="A4" s="2">
        <v>46176</v>
      </c>
      <c r="B4" s="1" t="s">
        <v>172</v>
      </c>
      <c r="C4" s="3" t="s">
        <v>15</v>
      </c>
      <c r="D4" s="1" t="s">
        <v>10</v>
      </c>
      <c r="E4" s="49">
        <v>15000</v>
      </c>
      <c r="F4" s="49">
        <v>15000</v>
      </c>
      <c r="G4" s="1" t="s">
        <v>16</v>
      </c>
      <c r="H4" s="65" t="s">
        <v>174</v>
      </c>
      <c r="I4" s="53"/>
      <c r="K4" s="149" t="s">
        <v>236</v>
      </c>
      <c r="L4" s="150"/>
    </row>
    <row r="5" spans="1:12" x14ac:dyDescent="0.35">
      <c r="A5" s="2">
        <v>46177</v>
      </c>
      <c r="B5" s="1" t="s">
        <v>172</v>
      </c>
      <c r="C5" s="3" t="s">
        <v>15</v>
      </c>
      <c r="D5" s="1" t="s">
        <v>10</v>
      </c>
      <c r="E5" s="49"/>
      <c r="F5" s="49">
        <v>15000</v>
      </c>
      <c r="G5" s="1" t="s">
        <v>16</v>
      </c>
      <c r="H5" s="65"/>
      <c r="I5" s="85"/>
      <c r="K5" s="151"/>
      <c r="L5" s="152"/>
    </row>
    <row r="6" spans="1:12" x14ac:dyDescent="0.35">
      <c r="A6" s="2">
        <v>46178</v>
      </c>
      <c r="B6" s="1" t="s">
        <v>172</v>
      </c>
      <c r="C6" s="3" t="s">
        <v>15</v>
      </c>
      <c r="D6" s="1" t="s">
        <v>10</v>
      </c>
      <c r="E6" s="49">
        <v>15000</v>
      </c>
      <c r="F6" s="49">
        <v>15000</v>
      </c>
      <c r="G6" s="1" t="s">
        <v>16</v>
      </c>
      <c r="H6" s="72" t="s">
        <v>175</v>
      </c>
      <c r="I6" s="86"/>
      <c r="K6" s="151"/>
      <c r="L6" s="152"/>
    </row>
    <row r="7" spans="1:12" x14ac:dyDescent="0.35">
      <c r="A7" s="2"/>
      <c r="B7" s="1"/>
      <c r="C7" s="3"/>
      <c r="D7" s="1"/>
      <c r="E7" s="75">
        <f>SUM(E2:E6)</f>
        <v>70000</v>
      </c>
      <c r="F7" s="75">
        <v>75000</v>
      </c>
      <c r="G7" s="1" t="s">
        <v>16</v>
      </c>
      <c r="H7" s="59"/>
      <c r="I7" s="89"/>
      <c r="K7" s="153">
        <f>SUM(E20+E30+E39)</f>
        <v>150000</v>
      </c>
      <c r="L7" s="154"/>
    </row>
    <row r="8" spans="1:12" x14ac:dyDescent="0.35">
      <c r="A8" s="2"/>
      <c r="B8" s="1"/>
      <c r="C8" s="3"/>
      <c r="D8" s="1"/>
      <c r="E8" s="60">
        <v>0</v>
      </c>
      <c r="F8" s="75"/>
      <c r="G8" s="1"/>
      <c r="H8" s="59"/>
      <c r="I8" s="141"/>
      <c r="K8" s="153"/>
      <c r="L8" s="154"/>
    </row>
    <row r="9" spans="1:12" ht="15" thickBot="1" x14ac:dyDescent="0.4">
      <c r="A9" s="2" t="s">
        <v>176</v>
      </c>
      <c r="B9" s="1"/>
      <c r="C9" s="3" t="s">
        <v>15</v>
      </c>
      <c r="D9" s="1" t="s">
        <v>10</v>
      </c>
      <c r="E9" s="63"/>
      <c r="F9" s="49">
        <v>15000</v>
      </c>
      <c r="G9" s="1" t="s">
        <v>16</v>
      </c>
      <c r="H9" s="65"/>
      <c r="I9" s="91"/>
      <c r="K9" s="155"/>
      <c r="L9" s="156"/>
    </row>
    <row r="10" spans="1:12" x14ac:dyDescent="0.35">
      <c r="A10" s="2" t="s">
        <v>18</v>
      </c>
      <c r="B10" s="1"/>
      <c r="C10" s="3" t="s">
        <v>15</v>
      </c>
      <c r="D10" s="1" t="s">
        <v>10</v>
      </c>
      <c r="E10" s="64"/>
      <c r="F10" s="49"/>
      <c r="G10" s="1" t="s">
        <v>16</v>
      </c>
      <c r="H10" s="65"/>
      <c r="I10" s="90"/>
    </row>
    <row r="11" spans="1:12" x14ac:dyDescent="0.35">
      <c r="A11" s="2">
        <v>46181</v>
      </c>
      <c r="B11" s="1"/>
      <c r="C11" s="3" t="s">
        <v>15</v>
      </c>
      <c r="D11" s="1" t="s">
        <v>10</v>
      </c>
      <c r="E11" s="64">
        <v>15000</v>
      </c>
      <c r="F11" s="49">
        <v>15000</v>
      </c>
      <c r="G11" s="1" t="s">
        <v>16</v>
      </c>
      <c r="H11" s="65" t="s">
        <v>232</v>
      </c>
      <c r="I11" s="90"/>
    </row>
    <row r="12" spans="1:12" x14ac:dyDescent="0.35">
      <c r="A12" s="2">
        <v>46182</v>
      </c>
      <c r="B12" s="1"/>
      <c r="C12" s="3" t="s">
        <v>15</v>
      </c>
      <c r="D12" s="1" t="s">
        <v>10</v>
      </c>
      <c r="E12" s="64">
        <v>25000</v>
      </c>
      <c r="F12" s="49">
        <v>15000</v>
      </c>
      <c r="G12" s="1"/>
      <c r="H12" s="65"/>
      <c r="I12" s="90"/>
    </row>
    <row r="13" spans="1:12" x14ac:dyDescent="0.35">
      <c r="A13" s="2">
        <v>46183</v>
      </c>
      <c r="B13" s="1"/>
      <c r="C13" s="3" t="s">
        <v>15</v>
      </c>
      <c r="D13" s="1" t="s">
        <v>10</v>
      </c>
      <c r="E13" s="64">
        <v>10000</v>
      </c>
      <c r="F13" s="49">
        <v>15000</v>
      </c>
      <c r="G13" s="1" t="s">
        <v>16</v>
      </c>
      <c r="H13" s="65"/>
      <c r="I13" s="90"/>
    </row>
    <row r="14" spans="1:12" ht="41.5" customHeight="1" x14ac:dyDescent="0.35">
      <c r="A14" s="2">
        <v>46184</v>
      </c>
      <c r="B14" s="1"/>
      <c r="C14" s="3" t="s">
        <v>15</v>
      </c>
      <c r="D14" s="1" t="s">
        <v>10</v>
      </c>
      <c r="E14" s="64">
        <v>15000</v>
      </c>
      <c r="F14" s="49">
        <v>15000</v>
      </c>
      <c r="G14" s="1" t="s">
        <v>16</v>
      </c>
      <c r="H14" s="59" t="s">
        <v>233</v>
      </c>
      <c r="I14" s="90"/>
    </row>
    <row r="15" spans="1:12" x14ac:dyDescent="0.35">
      <c r="A15" s="2">
        <v>46185</v>
      </c>
      <c r="B15" s="1"/>
      <c r="C15" s="3" t="s">
        <v>15</v>
      </c>
      <c r="D15" s="1" t="s">
        <v>10</v>
      </c>
      <c r="E15" s="64">
        <v>0</v>
      </c>
      <c r="F15" s="49">
        <v>15000</v>
      </c>
      <c r="G15" s="1" t="s">
        <v>16</v>
      </c>
      <c r="H15" s="65" t="s">
        <v>234</v>
      </c>
      <c r="I15" s="40"/>
    </row>
    <row r="16" spans="1:12" x14ac:dyDescent="0.35">
      <c r="A16" s="32" t="s">
        <v>169</v>
      </c>
      <c r="B16" s="1"/>
      <c r="C16" s="3" t="s">
        <v>15</v>
      </c>
      <c r="D16" s="1" t="s">
        <v>10</v>
      </c>
      <c r="E16" s="64">
        <v>0</v>
      </c>
      <c r="F16" s="49"/>
      <c r="G16" s="1" t="s">
        <v>16</v>
      </c>
      <c r="H16" s="65"/>
      <c r="I16" s="40"/>
    </row>
    <row r="17" spans="1:9" x14ac:dyDescent="0.35">
      <c r="A17" s="2">
        <v>46157</v>
      </c>
      <c r="B17" s="1"/>
      <c r="C17" s="3" t="s">
        <v>15</v>
      </c>
      <c r="D17" s="1" t="s">
        <v>10</v>
      </c>
      <c r="E17" s="64">
        <v>10000</v>
      </c>
      <c r="F17" s="49">
        <v>15000</v>
      </c>
      <c r="G17" s="1" t="s">
        <v>16</v>
      </c>
      <c r="H17" s="65"/>
      <c r="I17" s="91"/>
    </row>
    <row r="18" spans="1:9" x14ac:dyDescent="0.35">
      <c r="A18" s="2">
        <v>46158</v>
      </c>
      <c r="B18" s="1"/>
      <c r="C18" s="3" t="s">
        <v>15</v>
      </c>
      <c r="D18" s="1" t="s">
        <v>10</v>
      </c>
      <c r="E18" s="64">
        <v>10000</v>
      </c>
      <c r="F18" s="49">
        <v>15000</v>
      </c>
      <c r="G18" s="1"/>
      <c r="H18" s="65"/>
      <c r="I18" s="91"/>
    </row>
    <row r="19" spans="1:9" x14ac:dyDescent="0.35">
      <c r="B19" s="1"/>
      <c r="C19" s="3"/>
      <c r="D19" s="1"/>
      <c r="E19" s="75">
        <f>SUM(E9:E16)</f>
        <v>65000</v>
      </c>
      <c r="F19" s="75" t="s">
        <v>235</v>
      </c>
      <c r="G19" s="13"/>
      <c r="H19" s="68"/>
      <c r="I19" s="90"/>
    </row>
    <row r="20" spans="1:9" x14ac:dyDescent="0.35">
      <c r="B20" s="1"/>
      <c r="D20" s="1"/>
      <c r="E20" s="60">
        <v>50000</v>
      </c>
      <c r="F20" s="83"/>
      <c r="G20" s="1"/>
      <c r="H20" s="65"/>
      <c r="I20" s="90"/>
    </row>
    <row r="21" spans="1:9" x14ac:dyDescent="0.35">
      <c r="A21" s="2" t="s">
        <v>13</v>
      </c>
      <c r="B21" s="1" t="s">
        <v>23</v>
      </c>
      <c r="C21" s="3" t="s">
        <v>24</v>
      </c>
      <c r="D21" s="1" t="s">
        <v>25</v>
      </c>
      <c r="E21" s="49" t="s">
        <v>26</v>
      </c>
      <c r="F21" s="49" t="s">
        <v>27</v>
      </c>
      <c r="G21" s="1" t="s">
        <v>28</v>
      </c>
      <c r="H21" s="65" t="s">
        <v>29</v>
      </c>
      <c r="I21" s="90" t="s">
        <v>30</v>
      </c>
    </row>
    <row r="22" spans="1:9" x14ac:dyDescent="0.35">
      <c r="A22" s="2">
        <v>46186</v>
      </c>
      <c r="B22" s="1"/>
      <c r="C22" s="3" t="s">
        <v>15</v>
      </c>
      <c r="D22" s="1" t="s">
        <v>10</v>
      </c>
      <c r="E22" s="49">
        <v>30000</v>
      </c>
      <c r="F22" s="49">
        <v>15000</v>
      </c>
      <c r="G22" s="1" t="s">
        <v>96</v>
      </c>
      <c r="H22" s="65" t="s">
        <v>159</v>
      </c>
      <c r="I22" s="90"/>
    </row>
    <row r="23" spans="1:9" x14ac:dyDescent="0.35">
      <c r="A23" s="2" t="s">
        <v>18</v>
      </c>
      <c r="B23" s="1"/>
      <c r="C23" s="3" t="s">
        <v>15</v>
      </c>
      <c r="D23" s="1" t="s">
        <v>10</v>
      </c>
      <c r="E23" s="49"/>
      <c r="F23" s="49"/>
      <c r="G23" s="1" t="s">
        <v>96</v>
      </c>
      <c r="H23" s="65" t="s">
        <v>204</v>
      </c>
      <c r="I23" s="91"/>
    </row>
    <row r="24" spans="1:9" x14ac:dyDescent="0.35">
      <c r="A24" s="2">
        <v>46188</v>
      </c>
      <c r="B24" s="1"/>
      <c r="C24" s="3" t="s">
        <v>15</v>
      </c>
      <c r="D24" s="1" t="s">
        <v>10</v>
      </c>
      <c r="E24" s="49" t="s">
        <v>203</v>
      </c>
      <c r="F24" s="49"/>
      <c r="G24" s="1" t="s">
        <v>96</v>
      </c>
      <c r="H24" s="65"/>
      <c r="I24" s="91"/>
    </row>
    <row r="25" spans="1:9" x14ac:dyDescent="0.35">
      <c r="A25" s="2">
        <v>46189</v>
      </c>
      <c r="B25" s="1"/>
      <c r="C25" s="3" t="s">
        <v>15</v>
      </c>
      <c r="D25" s="1" t="s">
        <v>10</v>
      </c>
      <c r="E25" s="49"/>
      <c r="F25" s="49"/>
      <c r="G25" s="1" t="s">
        <v>96</v>
      </c>
      <c r="H25" s="79"/>
      <c r="I25" s="91"/>
    </row>
    <row r="26" spans="1:9" x14ac:dyDescent="0.35">
      <c r="A26" s="2">
        <v>46190</v>
      </c>
      <c r="B26" s="1"/>
      <c r="C26" s="3" t="s">
        <v>15</v>
      </c>
      <c r="D26" s="1" t="s">
        <v>10</v>
      </c>
      <c r="E26" s="49"/>
      <c r="F26" s="49"/>
      <c r="G26" s="1" t="s">
        <v>96</v>
      </c>
      <c r="H26" s="65"/>
      <c r="I26" s="1"/>
    </row>
    <row r="27" spans="1:9" x14ac:dyDescent="0.35">
      <c r="A27" s="2">
        <v>46191</v>
      </c>
      <c r="B27" s="1"/>
      <c r="C27" s="3" t="s">
        <v>15</v>
      </c>
      <c r="D27" s="1" t="s">
        <v>10</v>
      </c>
      <c r="E27" s="49"/>
      <c r="F27" s="49"/>
      <c r="G27" s="1" t="s">
        <v>96</v>
      </c>
      <c r="H27" s="65"/>
      <c r="I27" s="1"/>
    </row>
    <row r="28" spans="1:9" x14ac:dyDescent="0.35">
      <c r="A28" s="2">
        <v>46192</v>
      </c>
      <c r="B28" s="1"/>
      <c r="C28" s="3" t="s">
        <v>15</v>
      </c>
      <c r="D28" s="1" t="s">
        <v>10</v>
      </c>
      <c r="E28" s="49">
        <v>25000</v>
      </c>
      <c r="F28" s="49"/>
      <c r="G28" s="1" t="s">
        <v>96</v>
      </c>
      <c r="H28" s="65"/>
      <c r="I28" s="1"/>
    </row>
    <row r="29" spans="1:9" x14ac:dyDescent="0.35">
      <c r="A29" s="2"/>
      <c r="B29" s="1"/>
      <c r="C29" s="3"/>
      <c r="D29" s="1"/>
      <c r="E29" s="76">
        <f>SUM(Tableau41012131114202224[Colonne5])</f>
        <v>55000</v>
      </c>
      <c r="F29" s="75"/>
      <c r="G29" s="1"/>
      <c r="H29" s="69"/>
      <c r="I29" s="105"/>
    </row>
    <row r="30" spans="1:9" x14ac:dyDescent="0.35">
      <c r="E30" s="117"/>
      <c r="F30" s="84"/>
      <c r="I30" s="36"/>
    </row>
    <row r="31" spans="1:9" x14ac:dyDescent="0.35">
      <c r="A31" s="7">
        <v>46193</v>
      </c>
      <c r="B31" s="6"/>
      <c r="C31" s="8" t="s">
        <v>15</v>
      </c>
      <c r="D31" s="6" t="s">
        <v>10</v>
      </c>
      <c r="E31" s="64">
        <v>21000</v>
      </c>
      <c r="F31" s="64"/>
      <c r="G31" s="6" t="s">
        <v>16</v>
      </c>
      <c r="H31" s="71" t="s">
        <v>170</v>
      </c>
      <c r="I31" s="9"/>
    </row>
    <row r="32" spans="1:9" x14ac:dyDescent="0.35">
      <c r="A32" s="7" t="s">
        <v>18</v>
      </c>
      <c r="B32" s="6"/>
      <c r="C32" s="11" t="s">
        <v>15</v>
      </c>
      <c r="D32" s="6" t="s">
        <v>10</v>
      </c>
      <c r="E32" s="64"/>
      <c r="F32" s="64"/>
      <c r="G32" s="6" t="s">
        <v>16</v>
      </c>
      <c r="H32" s="72" t="s">
        <v>159</v>
      </c>
      <c r="I32" s="9"/>
    </row>
    <row r="33" spans="1:9" x14ac:dyDescent="0.35">
      <c r="A33" s="7">
        <v>46195</v>
      </c>
      <c r="B33" s="6"/>
      <c r="C33" s="8" t="s">
        <v>15</v>
      </c>
      <c r="D33" s="6" t="s">
        <v>10</v>
      </c>
      <c r="E33" s="64">
        <v>20000</v>
      </c>
      <c r="F33" s="64">
        <v>15000</v>
      </c>
      <c r="G33" s="10" t="s">
        <v>16</v>
      </c>
      <c r="H33" s="72"/>
      <c r="I33" s="12"/>
    </row>
    <row r="34" spans="1:9" x14ac:dyDescent="0.35">
      <c r="A34" s="7">
        <v>46196</v>
      </c>
      <c r="B34" s="6"/>
      <c r="C34" s="11" t="s">
        <v>15</v>
      </c>
      <c r="D34" s="6" t="s">
        <v>10</v>
      </c>
      <c r="E34" s="96">
        <v>15000</v>
      </c>
      <c r="F34" s="64">
        <v>15000</v>
      </c>
      <c r="G34" s="10" t="s">
        <v>16</v>
      </c>
      <c r="H34" s="70"/>
      <c r="I34" s="12"/>
    </row>
    <row r="35" spans="1:9" x14ac:dyDescent="0.35">
      <c r="A35" s="7">
        <v>46197</v>
      </c>
      <c r="B35" s="113"/>
      <c r="C35" s="8" t="s">
        <v>15</v>
      </c>
      <c r="D35" s="6" t="s">
        <v>10</v>
      </c>
      <c r="E35" s="96">
        <v>25000</v>
      </c>
      <c r="F35" s="64">
        <v>15000</v>
      </c>
      <c r="G35" s="10" t="s">
        <v>16</v>
      </c>
      <c r="H35" s="70"/>
      <c r="I35" s="114"/>
    </row>
    <row r="36" spans="1:9" x14ac:dyDescent="0.35">
      <c r="A36" s="7">
        <v>46198</v>
      </c>
      <c r="B36" s="113"/>
      <c r="C36" s="11" t="s">
        <v>15</v>
      </c>
      <c r="D36" s="6" t="s">
        <v>10</v>
      </c>
      <c r="E36" s="96">
        <v>15000</v>
      </c>
      <c r="F36" s="64">
        <v>15000</v>
      </c>
      <c r="G36" s="10" t="s">
        <v>16</v>
      </c>
      <c r="H36" s="70"/>
      <c r="I36" s="114"/>
    </row>
    <row r="37" spans="1:9" x14ac:dyDescent="0.35">
      <c r="A37" s="7">
        <v>46199</v>
      </c>
      <c r="B37" s="113"/>
      <c r="C37" s="11" t="s">
        <v>15</v>
      </c>
      <c r="D37" s="6" t="s">
        <v>10</v>
      </c>
      <c r="E37" s="96">
        <v>10000</v>
      </c>
      <c r="F37" s="64">
        <v>15000</v>
      </c>
      <c r="G37" s="114"/>
      <c r="H37" s="70"/>
      <c r="I37" s="114"/>
    </row>
    <row r="38" spans="1:9" x14ac:dyDescent="0.35">
      <c r="E38" s="76">
        <f>SUM(E31:E37)</f>
        <v>106000</v>
      </c>
      <c r="F38" s="76">
        <f>SUM(F31:F37)</f>
        <v>75000</v>
      </c>
      <c r="H38" s="73">
        <f>SUM(H31:H34)</f>
        <v>0</v>
      </c>
    </row>
    <row r="39" spans="1:9" x14ac:dyDescent="0.35">
      <c r="E39" s="142">
        <v>100000</v>
      </c>
    </row>
    <row r="45" spans="1:9" x14ac:dyDescent="0.35">
      <c r="A45" t="s">
        <v>31</v>
      </c>
    </row>
  </sheetData>
  <mergeCells count="2">
    <mergeCell ref="K4:L6"/>
    <mergeCell ref="K7:L9"/>
  </mergeCells>
  <pageMargins left="0.75" right="0.75" top="1" bottom="1" header="0.5" footer="0.5"/>
  <pageSetup paperSize="9" orientation="portrait" horizontalDpi="0" verticalDpi="0"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47C6-557E-4265-B692-A36DD4BFA91A}">
  <dimension ref="A1:K47"/>
  <sheetViews>
    <sheetView topLeftCell="A17" zoomScale="78" zoomScaleNormal="115" workbookViewId="0">
      <selection activeCell="E41" sqref="E41:E43"/>
    </sheetView>
  </sheetViews>
  <sheetFormatPr baseColWidth="10" defaultColWidth="8.7265625" defaultRowHeight="14.5" x14ac:dyDescent="0.35"/>
  <cols>
    <col min="1" max="1" width="13.7265625" customWidth="1"/>
    <col min="2" max="2" width="14.81640625" customWidth="1"/>
    <col min="3" max="3" width="15.26953125" style="4" bestFit="1" customWidth="1"/>
    <col min="4" max="4" width="18.54296875" customWidth="1"/>
    <col min="5" max="5" width="16.7265625" style="82" customWidth="1"/>
    <col min="6" max="6" width="22" style="82" customWidth="1"/>
    <col min="7" max="7" width="18.1796875" customWidth="1"/>
    <col min="8" max="8" width="48.08984375" style="66" customWidth="1"/>
    <col min="9" max="9" width="20" customWidth="1"/>
    <col min="11" max="11" width="31.08984375" customWidth="1"/>
    <col min="12" max="12" width="11" customWidth="1"/>
  </cols>
  <sheetData>
    <row r="1" spans="1:11" ht="21" customHeight="1" x14ac:dyDescent="0.35">
      <c r="A1" s="1" t="s">
        <v>0</v>
      </c>
      <c r="B1" s="1" t="s">
        <v>8</v>
      </c>
      <c r="C1" s="3" t="s">
        <v>1</v>
      </c>
      <c r="D1" s="1" t="s">
        <v>12</v>
      </c>
      <c r="E1" s="49" t="s">
        <v>2</v>
      </c>
      <c r="F1" s="82" t="s">
        <v>17</v>
      </c>
      <c r="G1" s="1" t="s">
        <v>3</v>
      </c>
      <c r="H1" s="79" t="s">
        <v>64</v>
      </c>
    </row>
    <row r="2" spans="1:11" ht="20.5" customHeight="1" x14ac:dyDescent="0.35">
      <c r="A2" s="2">
        <v>46200</v>
      </c>
      <c r="B2" s="1" t="s">
        <v>213</v>
      </c>
      <c r="C2" s="3" t="s">
        <v>15</v>
      </c>
      <c r="D2" s="1" t="s">
        <v>10</v>
      </c>
      <c r="E2" s="49"/>
      <c r="F2" s="49"/>
      <c r="G2" s="1" t="s">
        <v>16</v>
      </c>
      <c r="H2" s="67"/>
    </row>
    <row r="3" spans="1:11" ht="15" thickBot="1" x14ac:dyDescent="0.4">
      <c r="A3" s="2" t="s">
        <v>18</v>
      </c>
      <c r="B3" s="1" t="s">
        <v>213</v>
      </c>
      <c r="C3" s="3" t="s">
        <v>15</v>
      </c>
      <c r="D3" s="1" t="s">
        <v>10</v>
      </c>
      <c r="E3" s="58"/>
      <c r="F3" s="49"/>
      <c r="G3" s="1" t="s">
        <v>16</v>
      </c>
      <c r="H3" s="65"/>
    </row>
    <row r="4" spans="1:11" x14ac:dyDescent="0.35">
      <c r="A4" s="2">
        <v>46202</v>
      </c>
      <c r="B4" s="1" t="s">
        <v>213</v>
      </c>
      <c r="C4" s="3" t="s">
        <v>15</v>
      </c>
      <c r="D4" s="1" t="s">
        <v>10</v>
      </c>
      <c r="E4" s="49"/>
      <c r="F4" s="49"/>
      <c r="G4" s="1" t="s">
        <v>16</v>
      </c>
      <c r="H4" s="65"/>
      <c r="J4" s="149" t="s">
        <v>236</v>
      </c>
      <c r="K4" s="150"/>
    </row>
    <row r="5" spans="1:11" x14ac:dyDescent="0.35">
      <c r="A5" s="2">
        <v>46203</v>
      </c>
      <c r="B5" s="1" t="s">
        <v>213</v>
      </c>
      <c r="C5" s="3" t="s">
        <v>15</v>
      </c>
      <c r="D5" s="1" t="s">
        <v>10</v>
      </c>
      <c r="E5" s="49"/>
      <c r="F5" s="49"/>
      <c r="G5" s="1" t="s">
        <v>16</v>
      </c>
      <c r="H5" s="65"/>
      <c r="J5" s="151"/>
      <c r="K5" s="152"/>
    </row>
    <row r="6" spans="1:11" x14ac:dyDescent="0.35">
      <c r="A6" s="2">
        <v>46204</v>
      </c>
      <c r="B6" s="1" t="s">
        <v>213</v>
      </c>
      <c r="C6" s="3" t="s">
        <v>15</v>
      </c>
      <c r="D6" s="1" t="s">
        <v>10</v>
      </c>
      <c r="E6" s="49"/>
      <c r="F6" s="49"/>
      <c r="G6" s="1" t="s">
        <v>16</v>
      </c>
      <c r="H6" s="65"/>
      <c r="J6" s="151"/>
      <c r="K6" s="152"/>
    </row>
    <row r="7" spans="1:11" x14ac:dyDescent="0.35">
      <c r="A7" s="2">
        <v>46205</v>
      </c>
      <c r="B7" s="1" t="s">
        <v>213</v>
      </c>
      <c r="C7" s="3" t="s">
        <v>15</v>
      </c>
      <c r="D7" s="1" t="s">
        <v>10</v>
      </c>
      <c r="E7" s="49"/>
      <c r="F7" s="49"/>
      <c r="G7" s="1" t="s">
        <v>16</v>
      </c>
      <c r="H7" s="65"/>
      <c r="J7" s="151"/>
      <c r="K7" s="152"/>
    </row>
    <row r="8" spans="1:11" x14ac:dyDescent="0.35">
      <c r="A8" s="2">
        <v>46206</v>
      </c>
      <c r="B8" s="1" t="s">
        <v>213</v>
      </c>
      <c r="C8" s="3" t="s">
        <v>15</v>
      </c>
      <c r="D8" s="1" t="s">
        <v>10</v>
      </c>
      <c r="E8" s="49"/>
      <c r="F8" s="49"/>
      <c r="G8" s="1" t="s">
        <v>16</v>
      </c>
      <c r="H8" s="143"/>
      <c r="J8" s="151"/>
      <c r="K8" s="152"/>
    </row>
    <row r="9" spans="1:11" x14ac:dyDescent="0.35">
      <c r="A9" s="2"/>
      <c r="B9" s="1"/>
      <c r="C9" s="3"/>
      <c r="D9" s="1"/>
      <c r="E9" s="75">
        <v>107000</v>
      </c>
      <c r="F9" s="75"/>
      <c r="G9" s="1" t="s">
        <v>16</v>
      </c>
      <c r="H9" s="144" t="s">
        <v>237</v>
      </c>
      <c r="J9" s="153">
        <f>SUM(E10+E19+E29+E38)</f>
        <v>165000</v>
      </c>
      <c r="K9" s="154"/>
    </row>
    <row r="10" spans="1:11" x14ac:dyDescent="0.35">
      <c r="A10" s="2"/>
      <c r="B10" s="1"/>
      <c r="C10" s="3"/>
      <c r="D10" s="1"/>
      <c r="E10" s="60">
        <v>100000</v>
      </c>
      <c r="F10" s="75"/>
      <c r="G10" s="1"/>
      <c r="H10" s="144"/>
      <c r="J10" s="153"/>
      <c r="K10" s="154"/>
    </row>
    <row r="11" spans="1:11" ht="15" thickBot="1" x14ac:dyDescent="0.4">
      <c r="A11" s="2" t="s">
        <v>176</v>
      </c>
      <c r="B11" s="1" t="s">
        <v>213</v>
      </c>
      <c r="C11" s="3" t="s">
        <v>15</v>
      </c>
      <c r="D11" s="1" t="s">
        <v>10</v>
      </c>
      <c r="E11" s="63">
        <v>10000</v>
      </c>
      <c r="F11" s="49">
        <v>15000</v>
      </c>
      <c r="G11" s="1" t="s">
        <v>16</v>
      </c>
      <c r="H11" s="144" t="s">
        <v>238</v>
      </c>
      <c r="J11" s="155"/>
      <c r="K11" s="156"/>
    </row>
    <row r="12" spans="1:11" x14ac:dyDescent="0.35">
      <c r="A12" s="2" t="s">
        <v>18</v>
      </c>
      <c r="B12" s="1" t="s">
        <v>213</v>
      </c>
      <c r="C12" s="3" t="s">
        <v>15</v>
      </c>
      <c r="D12" s="1" t="s">
        <v>10</v>
      </c>
      <c r="E12" s="63"/>
      <c r="F12" s="49"/>
      <c r="G12" s="1" t="s">
        <v>16</v>
      </c>
      <c r="H12" s="145" t="s">
        <v>239</v>
      </c>
    </row>
    <row r="13" spans="1:11" x14ac:dyDescent="0.35">
      <c r="A13" s="2">
        <v>46209</v>
      </c>
      <c r="B13" s="1" t="s">
        <v>213</v>
      </c>
      <c r="C13" s="3" t="s">
        <v>15</v>
      </c>
      <c r="D13" s="1" t="s">
        <v>10</v>
      </c>
      <c r="E13" s="63">
        <v>10000</v>
      </c>
      <c r="F13" s="49"/>
      <c r="G13" s="1" t="s">
        <v>16</v>
      </c>
      <c r="H13" s="145"/>
    </row>
    <row r="14" spans="1:11" x14ac:dyDescent="0.35">
      <c r="A14" s="2">
        <v>46210</v>
      </c>
      <c r="B14" s="1" t="s">
        <v>213</v>
      </c>
      <c r="C14" s="3" t="s">
        <v>15</v>
      </c>
      <c r="D14" s="1" t="s">
        <v>10</v>
      </c>
      <c r="E14" s="63">
        <v>20000</v>
      </c>
      <c r="F14" s="49"/>
      <c r="G14" s="1"/>
      <c r="H14" s="145"/>
    </row>
    <row r="15" spans="1:11" x14ac:dyDescent="0.35">
      <c r="A15" s="2">
        <v>46211</v>
      </c>
      <c r="B15" s="1" t="s">
        <v>213</v>
      </c>
      <c r="C15" s="3" t="s">
        <v>15</v>
      </c>
      <c r="D15" s="1" t="s">
        <v>10</v>
      </c>
      <c r="E15" s="63">
        <v>20000</v>
      </c>
      <c r="F15" s="49"/>
      <c r="G15" s="1" t="s">
        <v>16</v>
      </c>
      <c r="H15" s="145"/>
    </row>
    <row r="16" spans="1:11" ht="41.5" customHeight="1" x14ac:dyDescent="0.35">
      <c r="A16" s="2">
        <v>46212</v>
      </c>
      <c r="B16" s="1" t="s">
        <v>213</v>
      </c>
      <c r="C16" s="3" t="s">
        <v>15</v>
      </c>
      <c r="D16" s="1" t="s">
        <v>10</v>
      </c>
      <c r="E16" s="63">
        <v>20000</v>
      </c>
      <c r="F16" s="49"/>
      <c r="G16" s="1" t="s">
        <v>16</v>
      </c>
      <c r="H16" s="146" t="s">
        <v>240</v>
      </c>
    </row>
    <row r="17" spans="1:9" x14ac:dyDescent="0.35">
      <c r="A17" s="2">
        <v>46213</v>
      </c>
      <c r="B17" s="1" t="s">
        <v>213</v>
      </c>
      <c r="C17" s="3" t="s">
        <v>15</v>
      </c>
      <c r="D17" s="1" t="s">
        <v>10</v>
      </c>
      <c r="E17" s="63">
        <v>20000</v>
      </c>
      <c r="F17" s="49"/>
      <c r="G17" s="1" t="s">
        <v>16</v>
      </c>
      <c r="H17" s="145"/>
    </row>
    <row r="18" spans="1:9" x14ac:dyDescent="0.35">
      <c r="B18" s="1"/>
      <c r="C18" s="3"/>
      <c r="D18" s="1"/>
      <c r="E18" s="75">
        <f>SUM(E11:E17)</f>
        <v>100000</v>
      </c>
      <c r="F18" s="75"/>
      <c r="G18" s="13"/>
      <c r="H18" s="145"/>
    </row>
    <row r="19" spans="1:9" x14ac:dyDescent="0.35">
      <c r="B19" s="1"/>
      <c r="D19" s="1"/>
      <c r="E19" s="60">
        <v>50000</v>
      </c>
      <c r="F19" s="83"/>
      <c r="G19" s="1"/>
      <c r="H19" s="145"/>
      <c r="I19" s="90"/>
    </row>
    <row r="20" spans="1:9" x14ac:dyDescent="0.35">
      <c r="A20" s="2" t="s">
        <v>13</v>
      </c>
      <c r="B20" s="1" t="s">
        <v>23</v>
      </c>
      <c r="C20" s="3" t="s">
        <v>24</v>
      </c>
      <c r="D20" s="1" t="s">
        <v>25</v>
      </c>
      <c r="E20" s="49" t="s">
        <v>26</v>
      </c>
      <c r="F20" s="49" t="s">
        <v>27</v>
      </c>
      <c r="G20" s="1" t="s">
        <v>28</v>
      </c>
      <c r="H20" s="65" t="s">
        <v>29</v>
      </c>
      <c r="I20" s="90" t="s">
        <v>30</v>
      </c>
    </row>
    <row r="21" spans="1:9" x14ac:dyDescent="0.35">
      <c r="A21" s="2">
        <v>46214</v>
      </c>
      <c r="B21" s="1" t="s">
        <v>213</v>
      </c>
      <c r="C21" s="3" t="s">
        <v>15</v>
      </c>
      <c r="D21" s="1" t="s">
        <v>10</v>
      </c>
      <c r="E21" s="49">
        <v>10000</v>
      </c>
      <c r="F21" s="49"/>
      <c r="G21" s="1" t="s">
        <v>96</v>
      </c>
      <c r="H21" s="65"/>
      <c r="I21" s="90"/>
    </row>
    <row r="22" spans="1:9" ht="72.5" x14ac:dyDescent="0.35">
      <c r="A22" s="2" t="s">
        <v>18</v>
      </c>
      <c r="B22" s="1" t="s">
        <v>213</v>
      </c>
      <c r="C22" s="3" t="s">
        <v>15</v>
      </c>
      <c r="D22" s="1" t="s">
        <v>10</v>
      </c>
      <c r="E22" s="49"/>
      <c r="F22" s="49"/>
      <c r="G22" s="1" t="s">
        <v>96</v>
      </c>
      <c r="H22" s="147" t="s">
        <v>243</v>
      </c>
      <c r="I22" s="91"/>
    </row>
    <row r="23" spans="1:9" x14ac:dyDescent="0.35">
      <c r="A23" s="2">
        <v>46216</v>
      </c>
      <c r="B23" s="1" t="s">
        <v>213</v>
      </c>
      <c r="C23" s="3" t="s">
        <v>15</v>
      </c>
      <c r="D23" s="1" t="s">
        <v>10</v>
      </c>
      <c r="E23" s="49">
        <v>10000</v>
      </c>
      <c r="F23" s="49"/>
      <c r="G23" s="1" t="s">
        <v>96</v>
      </c>
      <c r="H23" s="65"/>
      <c r="I23" s="91"/>
    </row>
    <row r="24" spans="1:9" x14ac:dyDescent="0.35">
      <c r="A24" s="2">
        <v>46217</v>
      </c>
      <c r="B24" s="1" t="s">
        <v>213</v>
      </c>
      <c r="C24" s="3" t="s">
        <v>15</v>
      </c>
      <c r="D24" s="1" t="s">
        <v>10</v>
      </c>
      <c r="E24" s="49">
        <v>30000</v>
      </c>
      <c r="F24" s="49"/>
      <c r="G24" s="1" t="s">
        <v>96</v>
      </c>
      <c r="H24" s="79"/>
      <c r="I24" s="91"/>
    </row>
    <row r="25" spans="1:9" x14ac:dyDescent="0.35">
      <c r="A25" s="2">
        <v>46218</v>
      </c>
      <c r="B25" s="1" t="s">
        <v>213</v>
      </c>
      <c r="C25" s="3" t="s">
        <v>15</v>
      </c>
      <c r="D25" s="1" t="s">
        <v>10</v>
      </c>
      <c r="E25" s="49">
        <v>10000</v>
      </c>
      <c r="F25" s="49"/>
      <c r="G25" s="1" t="s">
        <v>96</v>
      </c>
      <c r="H25" s="65"/>
      <c r="I25" s="1"/>
    </row>
    <row r="26" spans="1:9" x14ac:dyDescent="0.35">
      <c r="A26" s="2">
        <v>46219</v>
      </c>
      <c r="B26" s="1" t="s">
        <v>213</v>
      </c>
      <c r="C26" s="3" t="s">
        <v>15</v>
      </c>
      <c r="D26" s="1" t="s">
        <v>10</v>
      </c>
      <c r="E26" s="49">
        <v>40000</v>
      </c>
      <c r="F26" s="49"/>
      <c r="G26" s="1" t="s">
        <v>96</v>
      </c>
      <c r="H26" s="65"/>
      <c r="I26" s="1"/>
    </row>
    <row r="27" spans="1:9" x14ac:dyDescent="0.35">
      <c r="A27" s="2">
        <v>46220</v>
      </c>
      <c r="B27" s="1" t="s">
        <v>213</v>
      </c>
      <c r="C27" s="3" t="s">
        <v>15</v>
      </c>
      <c r="D27" s="1" t="s">
        <v>10</v>
      </c>
      <c r="E27" s="49">
        <v>10000</v>
      </c>
      <c r="F27" s="49"/>
      <c r="G27" s="1" t="s">
        <v>96</v>
      </c>
      <c r="H27" s="65"/>
      <c r="I27" s="1"/>
    </row>
    <row r="28" spans="1:9" x14ac:dyDescent="0.35">
      <c r="A28" s="2"/>
      <c r="B28" s="1"/>
      <c r="C28" s="3"/>
      <c r="D28" s="1"/>
      <c r="E28" s="76">
        <f>SUM(Tableau4101213111420222426[Colonne5])</f>
        <v>110000</v>
      </c>
      <c r="F28" s="75"/>
      <c r="G28" s="1"/>
      <c r="H28" s="69"/>
      <c r="I28" s="105"/>
    </row>
    <row r="29" spans="1:9" x14ac:dyDescent="0.35">
      <c r="E29" s="142">
        <v>15000</v>
      </c>
      <c r="F29" s="84"/>
      <c r="I29" s="36"/>
    </row>
    <row r="30" spans="1:9" x14ac:dyDescent="0.35">
      <c r="A30" s="7">
        <v>46221</v>
      </c>
      <c r="B30" s="28" t="s">
        <v>213</v>
      </c>
      <c r="C30" s="8" t="s">
        <v>15</v>
      </c>
      <c r="D30" s="6" t="s">
        <v>10</v>
      </c>
      <c r="E30" s="64">
        <v>0</v>
      </c>
      <c r="F30" s="64"/>
      <c r="G30" s="6" t="s">
        <v>16</v>
      </c>
      <c r="H30" s="70" t="s">
        <v>246</v>
      </c>
      <c r="I30" s="9"/>
    </row>
    <row r="31" spans="1:9" x14ac:dyDescent="0.35">
      <c r="A31" s="7" t="s">
        <v>244</v>
      </c>
      <c r="B31" s="28" t="s">
        <v>213</v>
      </c>
      <c r="C31" s="11" t="s">
        <v>15</v>
      </c>
      <c r="D31" s="6" t="s">
        <v>10</v>
      </c>
      <c r="E31" s="64"/>
      <c r="F31" s="64"/>
      <c r="G31" s="6" t="s">
        <v>16</v>
      </c>
      <c r="H31" s="72"/>
      <c r="I31" s="9"/>
    </row>
    <row r="32" spans="1:9" x14ac:dyDescent="0.35">
      <c r="A32" s="7" t="s">
        <v>245</v>
      </c>
      <c r="B32" s="28" t="s">
        <v>213</v>
      </c>
      <c r="C32" s="8" t="s">
        <v>15</v>
      </c>
      <c r="D32" s="6" t="s">
        <v>10</v>
      </c>
      <c r="E32" s="64">
        <v>35000</v>
      </c>
      <c r="F32" s="64"/>
      <c r="G32" s="10" t="s">
        <v>16</v>
      </c>
      <c r="H32" s="72"/>
      <c r="I32" s="12"/>
    </row>
    <row r="33" spans="1:9" x14ac:dyDescent="0.35">
      <c r="A33" s="7" t="s">
        <v>247</v>
      </c>
      <c r="B33" s="28" t="s">
        <v>213</v>
      </c>
      <c r="C33" s="11" t="s">
        <v>15</v>
      </c>
      <c r="D33" s="6" t="s">
        <v>10</v>
      </c>
      <c r="E33" s="96">
        <v>15000</v>
      </c>
      <c r="F33" s="64"/>
      <c r="G33" s="10" t="s">
        <v>16</v>
      </c>
      <c r="H33" s="70" t="s">
        <v>251</v>
      </c>
      <c r="I33" s="12"/>
    </row>
    <row r="34" spans="1:9" x14ac:dyDescent="0.35">
      <c r="A34" s="7" t="s">
        <v>248</v>
      </c>
      <c r="B34" s="28" t="s">
        <v>213</v>
      </c>
      <c r="C34" s="8" t="s">
        <v>15</v>
      </c>
      <c r="D34" s="6" t="s">
        <v>10</v>
      </c>
      <c r="E34" s="96">
        <v>0</v>
      </c>
      <c r="F34" s="64"/>
      <c r="G34" s="10" t="s">
        <v>16</v>
      </c>
      <c r="H34" s="70"/>
      <c r="I34" s="114"/>
    </row>
    <row r="35" spans="1:9" x14ac:dyDescent="0.35">
      <c r="A35" s="7" t="s">
        <v>249</v>
      </c>
      <c r="B35" s="28" t="s">
        <v>213</v>
      </c>
      <c r="C35" s="11" t="s">
        <v>15</v>
      </c>
      <c r="D35" s="6" t="s">
        <v>10</v>
      </c>
      <c r="E35" s="96">
        <v>0</v>
      </c>
      <c r="F35" s="64"/>
      <c r="G35" s="10" t="s">
        <v>16</v>
      </c>
      <c r="H35" s="70"/>
      <c r="I35" s="114"/>
    </row>
    <row r="36" spans="1:9" x14ac:dyDescent="0.35">
      <c r="A36" s="7" t="s">
        <v>250</v>
      </c>
      <c r="B36" s="28" t="s">
        <v>213</v>
      </c>
      <c r="C36" s="11" t="s">
        <v>15</v>
      </c>
      <c r="D36" s="6" t="s">
        <v>10</v>
      </c>
      <c r="E36" s="96">
        <v>0</v>
      </c>
      <c r="F36" s="64"/>
      <c r="G36" s="10" t="s">
        <v>16</v>
      </c>
      <c r="H36" s="70"/>
      <c r="I36" s="114"/>
    </row>
    <row r="37" spans="1:9" x14ac:dyDescent="0.35">
      <c r="E37" s="76">
        <f>SUM(E30:E36)</f>
        <v>50000</v>
      </c>
      <c r="F37" s="76"/>
      <c r="H37" s="73"/>
    </row>
    <row r="38" spans="1:9" x14ac:dyDescent="0.35">
      <c r="E38" s="142">
        <v>0</v>
      </c>
    </row>
    <row r="39" spans="1:9" x14ac:dyDescent="0.35">
      <c r="A39" s="7">
        <v>46228</v>
      </c>
      <c r="B39" s="28" t="s">
        <v>213</v>
      </c>
      <c r="C39" s="8" t="s">
        <v>15</v>
      </c>
      <c r="D39" s="6" t="s">
        <v>10</v>
      </c>
      <c r="E39" s="64">
        <v>25000</v>
      </c>
      <c r="F39" s="64"/>
      <c r="G39" s="6" t="s">
        <v>16</v>
      </c>
      <c r="H39" s="70" t="s">
        <v>252</v>
      </c>
    </row>
    <row r="40" spans="1:9" x14ac:dyDescent="0.35">
      <c r="A40" s="7" t="s">
        <v>244</v>
      </c>
      <c r="B40" s="28" t="s">
        <v>213</v>
      </c>
      <c r="C40" s="11" t="s">
        <v>15</v>
      </c>
      <c r="D40" s="6" t="s">
        <v>10</v>
      </c>
      <c r="E40" s="64"/>
      <c r="F40" s="64"/>
      <c r="G40" s="6" t="s">
        <v>16</v>
      </c>
      <c r="H40" s="72"/>
    </row>
    <row r="41" spans="1:9" x14ac:dyDescent="0.35">
      <c r="A41" s="7">
        <v>46230</v>
      </c>
      <c r="B41" s="28" t="s">
        <v>213</v>
      </c>
      <c r="C41" s="8" t="s">
        <v>15</v>
      </c>
      <c r="D41" s="6" t="s">
        <v>10</v>
      </c>
      <c r="E41" s="64">
        <v>0</v>
      </c>
      <c r="F41" s="64"/>
      <c r="G41" s="10" t="s">
        <v>16</v>
      </c>
      <c r="H41" s="72"/>
    </row>
    <row r="42" spans="1:9" x14ac:dyDescent="0.35">
      <c r="A42" s="7">
        <v>46231</v>
      </c>
      <c r="B42" s="28" t="s">
        <v>213</v>
      </c>
      <c r="C42" s="11" t="s">
        <v>15</v>
      </c>
      <c r="D42" s="6" t="s">
        <v>10</v>
      </c>
      <c r="E42" s="64">
        <v>0</v>
      </c>
      <c r="F42" s="64"/>
      <c r="G42" s="10" t="s">
        <v>16</v>
      </c>
      <c r="H42" s="70"/>
    </row>
    <row r="43" spans="1:9" x14ac:dyDescent="0.35">
      <c r="A43" s="7">
        <v>46232</v>
      </c>
      <c r="B43" s="28" t="s">
        <v>213</v>
      </c>
      <c r="C43" s="8" t="s">
        <v>15</v>
      </c>
      <c r="D43" s="6" t="s">
        <v>10</v>
      </c>
      <c r="E43" s="64">
        <v>0</v>
      </c>
      <c r="F43" s="64"/>
      <c r="G43" s="10" t="s">
        <v>16</v>
      </c>
      <c r="H43" s="70"/>
    </row>
    <row r="44" spans="1:9" x14ac:dyDescent="0.35">
      <c r="A44" s="7">
        <v>46233</v>
      </c>
      <c r="B44" s="28" t="s">
        <v>213</v>
      </c>
      <c r="C44" s="11" t="s">
        <v>15</v>
      </c>
      <c r="D44" s="6" t="s">
        <v>10</v>
      </c>
      <c r="E44" s="96">
        <v>0</v>
      </c>
      <c r="F44" s="64"/>
      <c r="G44" s="10" t="s">
        <v>16</v>
      </c>
      <c r="H44" s="70"/>
    </row>
    <row r="45" spans="1:9" x14ac:dyDescent="0.35">
      <c r="A45" s="7">
        <v>46234</v>
      </c>
      <c r="B45" s="28" t="s">
        <v>213</v>
      </c>
      <c r="C45" s="11" t="s">
        <v>15</v>
      </c>
      <c r="D45" s="6" t="s">
        <v>10</v>
      </c>
      <c r="E45" s="96">
        <v>0</v>
      </c>
      <c r="F45" s="64"/>
      <c r="G45" s="10" t="s">
        <v>16</v>
      </c>
      <c r="H45" s="70"/>
    </row>
    <row r="46" spans="1:9" x14ac:dyDescent="0.35">
      <c r="E46" s="76">
        <f>SUM(E39:E45)</f>
        <v>25000</v>
      </c>
      <c r="F46" s="76"/>
      <c r="H46" s="73"/>
    </row>
    <row r="47" spans="1:9" x14ac:dyDescent="0.35">
      <c r="E47" s="142">
        <v>0</v>
      </c>
    </row>
  </sheetData>
  <mergeCells count="2">
    <mergeCell ref="J4:K8"/>
    <mergeCell ref="J9:K11"/>
  </mergeCells>
  <phoneticPr fontId="1" type="noConversion"/>
  <pageMargins left="0.75" right="0.75" top="1" bottom="1" header="0.5" footer="0.5"/>
  <pageSetup paperSize="9" orientation="portrait" horizontalDpi="4294967293" verticalDpi="0"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3B9CF-D6BA-4B80-8BD8-73994765201C}">
  <dimension ref="A1:K47"/>
  <sheetViews>
    <sheetView zoomScale="78" zoomScaleNormal="115" workbookViewId="0">
      <selection activeCell="A2" sqref="A2"/>
    </sheetView>
  </sheetViews>
  <sheetFormatPr baseColWidth="10" defaultColWidth="8.7265625" defaultRowHeight="14.5" x14ac:dyDescent="0.35"/>
  <cols>
    <col min="1" max="1" width="13.7265625" customWidth="1"/>
    <col min="2" max="2" width="14.81640625" customWidth="1"/>
    <col min="3" max="3" width="15.26953125" style="4" bestFit="1" customWidth="1"/>
    <col min="4" max="4" width="18.54296875" customWidth="1"/>
    <col min="5" max="5" width="16.7265625" style="82" customWidth="1"/>
    <col min="6" max="6" width="22" style="82" customWidth="1"/>
    <col min="7" max="7" width="18.1796875" customWidth="1"/>
    <col min="8" max="8" width="48.08984375" style="66" customWidth="1"/>
    <col min="9" max="9" width="20" customWidth="1"/>
    <col min="11" max="11" width="31.08984375" customWidth="1"/>
    <col min="12" max="12" width="11" customWidth="1"/>
  </cols>
  <sheetData>
    <row r="1" spans="1:11" ht="21" customHeight="1" x14ac:dyDescent="0.35">
      <c r="A1" s="1" t="s">
        <v>0</v>
      </c>
      <c r="B1" s="1" t="s">
        <v>8</v>
      </c>
      <c r="C1" s="3" t="s">
        <v>1</v>
      </c>
      <c r="D1" s="1" t="s">
        <v>12</v>
      </c>
      <c r="E1" s="49" t="s">
        <v>2</v>
      </c>
      <c r="F1" s="82" t="s">
        <v>17</v>
      </c>
      <c r="G1" s="1" t="s">
        <v>3</v>
      </c>
      <c r="H1" s="79" t="s">
        <v>64</v>
      </c>
    </row>
    <row r="2" spans="1:11" ht="20.5" customHeight="1" x14ac:dyDescent="0.35">
      <c r="A2" s="2">
        <v>46200</v>
      </c>
      <c r="B2" s="1" t="s">
        <v>213</v>
      </c>
      <c r="C2" s="3" t="s">
        <v>15</v>
      </c>
      <c r="D2" s="1" t="s">
        <v>10</v>
      </c>
      <c r="E2" s="49"/>
      <c r="F2" s="49"/>
      <c r="G2" s="1" t="s">
        <v>16</v>
      </c>
      <c r="H2" s="67"/>
    </row>
    <row r="3" spans="1:11" ht="15" thickBot="1" x14ac:dyDescent="0.4">
      <c r="A3" s="2" t="s">
        <v>18</v>
      </c>
      <c r="B3" s="1" t="s">
        <v>213</v>
      </c>
      <c r="C3" s="3" t="s">
        <v>15</v>
      </c>
      <c r="D3" s="1" t="s">
        <v>10</v>
      </c>
      <c r="E3" s="58"/>
      <c r="F3" s="49"/>
      <c r="G3" s="1" t="s">
        <v>16</v>
      </c>
      <c r="H3" s="65"/>
    </row>
    <row r="4" spans="1:11" x14ac:dyDescent="0.35">
      <c r="A4" s="2">
        <v>46202</v>
      </c>
      <c r="B4" s="1" t="s">
        <v>213</v>
      </c>
      <c r="C4" s="3" t="s">
        <v>15</v>
      </c>
      <c r="D4" s="1" t="s">
        <v>10</v>
      </c>
      <c r="E4" s="49"/>
      <c r="F4" s="49"/>
      <c r="G4" s="1" t="s">
        <v>16</v>
      </c>
      <c r="H4" s="65"/>
      <c r="J4" s="149" t="s">
        <v>236</v>
      </c>
      <c r="K4" s="150"/>
    </row>
    <row r="5" spans="1:11" x14ac:dyDescent="0.35">
      <c r="A5" s="2">
        <v>46203</v>
      </c>
      <c r="B5" s="1" t="s">
        <v>213</v>
      </c>
      <c r="C5" s="3" t="s">
        <v>15</v>
      </c>
      <c r="D5" s="1" t="s">
        <v>10</v>
      </c>
      <c r="E5" s="49"/>
      <c r="F5" s="49"/>
      <c r="G5" s="1" t="s">
        <v>16</v>
      </c>
      <c r="H5" s="65"/>
      <c r="J5" s="151"/>
      <c r="K5" s="152"/>
    </row>
    <row r="6" spans="1:11" x14ac:dyDescent="0.35">
      <c r="A6" s="2">
        <v>46204</v>
      </c>
      <c r="B6" s="1" t="s">
        <v>213</v>
      </c>
      <c r="C6" s="3" t="s">
        <v>15</v>
      </c>
      <c r="D6" s="1" t="s">
        <v>10</v>
      </c>
      <c r="E6" s="49"/>
      <c r="F6" s="49"/>
      <c r="G6" s="1" t="s">
        <v>16</v>
      </c>
      <c r="H6" s="65"/>
      <c r="J6" s="151"/>
      <c r="K6" s="152"/>
    </row>
    <row r="7" spans="1:11" x14ac:dyDescent="0.35">
      <c r="A7" s="2">
        <v>46205</v>
      </c>
      <c r="B7" s="1" t="s">
        <v>213</v>
      </c>
      <c r="C7" s="3" t="s">
        <v>15</v>
      </c>
      <c r="D7" s="1" t="s">
        <v>10</v>
      </c>
      <c r="E7" s="49"/>
      <c r="F7" s="49"/>
      <c r="G7" s="1" t="s">
        <v>16</v>
      </c>
      <c r="H7" s="65"/>
      <c r="J7" s="151"/>
      <c r="K7" s="152"/>
    </row>
    <row r="8" spans="1:11" x14ac:dyDescent="0.35">
      <c r="A8" s="2">
        <v>46206</v>
      </c>
      <c r="B8" s="1" t="s">
        <v>213</v>
      </c>
      <c r="C8" s="3" t="s">
        <v>15</v>
      </c>
      <c r="D8" s="1" t="s">
        <v>10</v>
      </c>
      <c r="E8" s="49"/>
      <c r="F8" s="49"/>
      <c r="G8" s="1" t="s">
        <v>16</v>
      </c>
      <c r="H8" s="143"/>
      <c r="J8" s="151"/>
      <c r="K8" s="152"/>
    </row>
    <row r="9" spans="1:11" x14ac:dyDescent="0.35">
      <c r="A9" s="2"/>
      <c r="B9" s="1"/>
      <c r="C9" s="3"/>
      <c r="D9" s="1"/>
      <c r="E9" s="75"/>
      <c r="F9" s="75"/>
      <c r="G9" s="1"/>
      <c r="H9" s="144"/>
      <c r="J9" s="153">
        <f>SUM(E10+E19+E29+E38)</f>
        <v>0</v>
      </c>
      <c r="K9" s="154"/>
    </row>
    <row r="10" spans="1:11" x14ac:dyDescent="0.35">
      <c r="A10" s="2"/>
      <c r="B10" s="1"/>
      <c r="C10" s="3"/>
      <c r="D10" s="1"/>
      <c r="E10" s="60"/>
      <c r="F10" s="75"/>
      <c r="G10" s="1"/>
      <c r="H10" s="144"/>
      <c r="J10" s="153"/>
      <c r="K10" s="154"/>
    </row>
    <row r="11" spans="1:11" ht="15" thickBot="1" x14ac:dyDescent="0.4">
      <c r="A11" s="2" t="s">
        <v>176</v>
      </c>
      <c r="B11" s="1" t="s">
        <v>213</v>
      </c>
      <c r="C11" s="3" t="s">
        <v>15</v>
      </c>
      <c r="D11" s="1" t="s">
        <v>10</v>
      </c>
      <c r="E11" s="63"/>
      <c r="F11" s="49"/>
      <c r="G11" s="1"/>
      <c r="H11" s="144"/>
      <c r="J11" s="155"/>
      <c r="K11" s="156"/>
    </row>
    <row r="12" spans="1:11" x14ac:dyDescent="0.35">
      <c r="A12" s="2" t="s">
        <v>18</v>
      </c>
      <c r="B12" s="1" t="s">
        <v>213</v>
      </c>
      <c r="C12" s="3" t="s">
        <v>15</v>
      </c>
      <c r="D12" s="1" t="s">
        <v>10</v>
      </c>
      <c r="E12" s="63"/>
      <c r="F12" s="49"/>
      <c r="G12" s="1"/>
      <c r="H12" s="145"/>
    </row>
    <row r="13" spans="1:11" x14ac:dyDescent="0.35">
      <c r="A13" s="2">
        <v>46209</v>
      </c>
      <c r="B13" s="1" t="s">
        <v>213</v>
      </c>
      <c r="C13" s="3" t="s">
        <v>15</v>
      </c>
      <c r="D13" s="1" t="s">
        <v>10</v>
      </c>
      <c r="E13" s="63"/>
      <c r="F13" s="49"/>
      <c r="G13" s="1"/>
      <c r="H13" s="145"/>
    </row>
    <row r="14" spans="1:11" x14ac:dyDescent="0.35">
      <c r="A14" s="2">
        <v>46210</v>
      </c>
      <c r="B14" s="1" t="s">
        <v>213</v>
      </c>
      <c r="C14" s="3" t="s">
        <v>15</v>
      </c>
      <c r="D14" s="1" t="s">
        <v>10</v>
      </c>
      <c r="E14" s="63"/>
      <c r="F14" s="49"/>
      <c r="G14" s="1"/>
      <c r="H14" s="145"/>
    </row>
    <row r="15" spans="1:11" x14ac:dyDescent="0.35">
      <c r="A15" s="2">
        <v>46211</v>
      </c>
      <c r="B15" s="1" t="s">
        <v>213</v>
      </c>
      <c r="C15" s="3" t="s">
        <v>15</v>
      </c>
      <c r="D15" s="1" t="s">
        <v>10</v>
      </c>
      <c r="E15" s="63"/>
      <c r="F15" s="49"/>
      <c r="G15" s="1"/>
      <c r="H15" s="145"/>
    </row>
    <row r="16" spans="1:11" ht="41.5" customHeight="1" x14ac:dyDescent="0.35">
      <c r="A16" s="2">
        <v>46212</v>
      </c>
      <c r="B16" s="1" t="s">
        <v>213</v>
      </c>
      <c r="C16" s="3" t="s">
        <v>15</v>
      </c>
      <c r="D16" s="1" t="s">
        <v>10</v>
      </c>
      <c r="E16" s="63"/>
      <c r="F16" s="49"/>
      <c r="G16" s="1"/>
      <c r="H16" s="146"/>
    </row>
    <row r="17" spans="1:9" x14ac:dyDescent="0.35">
      <c r="A17" s="2">
        <v>46213</v>
      </c>
      <c r="B17" s="1" t="s">
        <v>213</v>
      </c>
      <c r="C17" s="3" t="s">
        <v>15</v>
      </c>
      <c r="D17" s="1" t="s">
        <v>10</v>
      </c>
      <c r="E17" s="63"/>
      <c r="F17" s="49"/>
      <c r="G17" s="1"/>
      <c r="H17" s="145"/>
    </row>
    <row r="18" spans="1:9" x14ac:dyDescent="0.35">
      <c r="B18" s="1"/>
      <c r="C18" s="3"/>
      <c r="D18" s="1"/>
      <c r="E18" s="75"/>
      <c r="F18" s="75"/>
      <c r="G18" s="13"/>
      <c r="H18" s="145"/>
    </row>
    <row r="19" spans="1:9" x14ac:dyDescent="0.35">
      <c r="B19" s="1"/>
      <c r="D19" s="1"/>
      <c r="E19" s="60"/>
      <c r="F19" s="83"/>
      <c r="G19" s="1"/>
      <c r="H19" s="145"/>
      <c r="I19" s="90"/>
    </row>
    <row r="20" spans="1:9" x14ac:dyDescent="0.35">
      <c r="A20" s="2" t="s">
        <v>13</v>
      </c>
      <c r="B20" s="1" t="s">
        <v>23</v>
      </c>
      <c r="C20" s="3" t="s">
        <v>24</v>
      </c>
      <c r="D20" s="1" t="s">
        <v>25</v>
      </c>
      <c r="E20" s="49" t="s">
        <v>26</v>
      </c>
      <c r="F20" s="49" t="s">
        <v>27</v>
      </c>
      <c r="G20" s="1" t="s">
        <v>28</v>
      </c>
      <c r="H20" s="65" t="s">
        <v>29</v>
      </c>
      <c r="I20" s="90" t="s">
        <v>30</v>
      </c>
    </row>
    <row r="21" spans="1:9" x14ac:dyDescent="0.35">
      <c r="A21" s="2">
        <v>46214</v>
      </c>
      <c r="B21" s="1" t="s">
        <v>213</v>
      </c>
      <c r="C21" s="3" t="s">
        <v>15</v>
      </c>
      <c r="D21" s="1" t="s">
        <v>10</v>
      </c>
      <c r="E21" s="49"/>
      <c r="F21" s="49"/>
      <c r="G21" s="1"/>
      <c r="H21" s="65"/>
      <c r="I21" s="90"/>
    </row>
    <row r="22" spans="1:9" x14ac:dyDescent="0.35">
      <c r="A22" s="2" t="s">
        <v>18</v>
      </c>
      <c r="B22" s="1" t="s">
        <v>213</v>
      </c>
      <c r="C22" s="3" t="s">
        <v>15</v>
      </c>
      <c r="D22" s="1" t="s">
        <v>10</v>
      </c>
      <c r="E22" s="49"/>
      <c r="F22" s="49"/>
      <c r="G22" s="1"/>
      <c r="H22" s="147"/>
      <c r="I22" s="91"/>
    </row>
    <row r="23" spans="1:9" x14ac:dyDescent="0.35">
      <c r="A23" s="2">
        <v>46216</v>
      </c>
      <c r="B23" s="1" t="s">
        <v>213</v>
      </c>
      <c r="C23" s="3" t="s">
        <v>15</v>
      </c>
      <c r="D23" s="1" t="s">
        <v>10</v>
      </c>
      <c r="E23" s="49"/>
      <c r="F23" s="49"/>
      <c r="G23" s="1"/>
      <c r="H23" s="65"/>
      <c r="I23" s="91"/>
    </row>
    <row r="24" spans="1:9" x14ac:dyDescent="0.35">
      <c r="A24" s="2">
        <v>46217</v>
      </c>
      <c r="B24" s="1" t="s">
        <v>213</v>
      </c>
      <c r="C24" s="3" t="s">
        <v>15</v>
      </c>
      <c r="D24" s="1" t="s">
        <v>10</v>
      </c>
      <c r="E24" s="49"/>
      <c r="F24" s="49"/>
      <c r="G24" s="1"/>
      <c r="H24" s="79"/>
      <c r="I24" s="91"/>
    </row>
    <row r="25" spans="1:9" x14ac:dyDescent="0.35">
      <c r="A25" s="2">
        <v>46218</v>
      </c>
      <c r="B25" s="1" t="s">
        <v>213</v>
      </c>
      <c r="C25" s="3" t="s">
        <v>15</v>
      </c>
      <c r="D25" s="1" t="s">
        <v>10</v>
      </c>
      <c r="E25" s="49"/>
      <c r="F25" s="49"/>
      <c r="G25" s="1"/>
      <c r="H25" s="65"/>
      <c r="I25" s="1"/>
    </row>
    <row r="26" spans="1:9" x14ac:dyDescent="0.35">
      <c r="A26" s="2">
        <v>46219</v>
      </c>
      <c r="B26" s="1" t="s">
        <v>213</v>
      </c>
      <c r="C26" s="3" t="s">
        <v>15</v>
      </c>
      <c r="D26" s="1" t="s">
        <v>10</v>
      </c>
      <c r="E26" s="49"/>
      <c r="F26" s="49"/>
      <c r="G26" s="1"/>
      <c r="H26" s="65"/>
      <c r="I26" s="1"/>
    </row>
    <row r="27" spans="1:9" x14ac:dyDescent="0.35">
      <c r="A27" s="2">
        <v>46220</v>
      </c>
      <c r="B27" s="1" t="s">
        <v>213</v>
      </c>
      <c r="C27" s="3" t="s">
        <v>15</v>
      </c>
      <c r="D27" s="1" t="s">
        <v>10</v>
      </c>
      <c r="E27" s="49"/>
      <c r="F27" s="49"/>
      <c r="G27" s="1"/>
      <c r="H27" s="65"/>
      <c r="I27" s="1"/>
    </row>
    <row r="28" spans="1:9" x14ac:dyDescent="0.35">
      <c r="A28" s="2"/>
      <c r="B28" s="1"/>
      <c r="C28" s="3"/>
      <c r="D28" s="1"/>
      <c r="E28" s="76"/>
      <c r="F28" s="75"/>
      <c r="G28" s="1"/>
      <c r="H28" s="69"/>
      <c r="I28" s="105"/>
    </row>
    <row r="29" spans="1:9" x14ac:dyDescent="0.35">
      <c r="E29" s="142"/>
      <c r="F29" s="84"/>
      <c r="I29" s="36"/>
    </row>
    <row r="30" spans="1:9" x14ac:dyDescent="0.35">
      <c r="A30" s="7">
        <v>46221</v>
      </c>
      <c r="B30" s="28" t="s">
        <v>213</v>
      </c>
      <c r="C30" s="8" t="s">
        <v>15</v>
      </c>
      <c r="D30" s="6" t="s">
        <v>10</v>
      </c>
      <c r="E30" s="64"/>
      <c r="F30" s="64"/>
      <c r="G30" s="6"/>
      <c r="H30" s="70"/>
      <c r="I30" s="9"/>
    </row>
    <row r="31" spans="1:9" x14ac:dyDescent="0.35">
      <c r="A31" s="7" t="s">
        <v>244</v>
      </c>
      <c r="B31" s="28" t="s">
        <v>213</v>
      </c>
      <c r="C31" s="11" t="s">
        <v>15</v>
      </c>
      <c r="D31" s="6" t="s">
        <v>10</v>
      </c>
      <c r="E31" s="64"/>
      <c r="F31" s="64"/>
      <c r="G31" s="6"/>
      <c r="H31" s="72"/>
      <c r="I31" s="9"/>
    </row>
    <row r="32" spans="1:9" x14ac:dyDescent="0.35">
      <c r="A32" s="7" t="s">
        <v>245</v>
      </c>
      <c r="B32" s="28" t="s">
        <v>213</v>
      </c>
      <c r="C32" s="8" t="s">
        <v>15</v>
      </c>
      <c r="D32" s="6" t="s">
        <v>10</v>
      </c>
      <c r="E32" s="64"/>
      <c r="F32" s="64"/>
      <c r="G32" s="10"/>
      <c r="H32" s="72"/>
      <c r="I32" s="12"/>
    </row>
    <row r="33" spans="1:9" x14ac:dyDescent="0.35">
      <c r="A33" s="7" t="s">
        <v>247</v>
      </c>
      <c r="B33" s="28" t="s">
        <v>213</v>
      </c>
      <c r="C33" s="11" t="s">
        <v>15</v>
      </c>
      <c r="D33" s="6" t="s">
        <v>10</v>
      </c>
      <c r="E33" s="96"/>
      <c r="F33" s="64"/>
      <c r="G33" s="10"/>
      <c r="H33" s="70"/>
      <c r="I33" s="12"/>
    </row>
    <row r="34" spans="1:9" x14ac:dyDescent="0.35">
      <c r="A34" s="7" t="s">
        <v>248</v>
      </c>
      <c r="B34" s="28" t="s">
        <v>213</v>
      </c>
      <c r="C34" s="8" t="s">
        <v>15</v>
      </c>
      <c r="D34" s="6" t="s">
        <v>10</v>
      </c>
      <c r="E34" s="96"/>
      <c r="F34" s="64"/>
      <c r="G34" s="10"/>
      <c r="H34" s="70"/>
      <c r="I34" s="114"/>
    </row>
    <row r="35" spans="1:9" x14ac:dyDescent="0.35">
      <c r="A35" s="7" t="s">
        <v>249</v>
      </c>
      <c r="B35" s="28" t="s">
        <v>213</v>
      </c>
      <c r="C35" s="11" t="s">
        <v>15</v>
      </c>
      <c r="D35" s="6" t="s">
        <v>10</v>
      </c>
      <c r="E35" s="96"/>
      <c r="F35" s="64"/>
      <c r="G35" s="10"/>
      <c r="H35" s="70"/>
      <c r="I35" s="114"/>
    </row>
    <row r="36" spans="1:9" x14ac:dyDescent="0.35">
      <c r="A36" s="7" t="s">
        <v>250</v>
      </c>
      <c r="B36" s="28" t="s">
        <v>213</v>
      </c>
      <c r="C36" s="11" t="s">
        <v>15</v>
      </c>
      <c r="D36" s="6" t="s">
        <v>10</v>
      </c>
      <c r="E36" s="96"/>
      <c r="F36" s="64"/>
      <c r="G36" s="10"/>
      <c r="H36" s="70"/>
      <c r="I36" s="114"/>
    </row>
    <row r="37" spans="1:9" x14ac:dyDescent="0.35">
      <c r="E37" s="76"/>
      <c r="F37" s="76"/>
      <c r="H37" s="73"/>
    </row>
    <row r="38" spans="1:9" x14ac:dyDescent="0.35">
      <c r="E38" s="142"/>
    </row>
    <row r="39" spans="1:9" x14ac:dyDescent="0.35">
      <c r="A39" s="7">
        <v>46228</v>
      </c>
      <c r="B39" s="28" t="s">
        <v>213</v>
      </c>
      <c r="C39" s="8" t="s">
        <v>15</v>
      </c>
      <c r="D39" s="6" t="s">
        <v>10</v>
      </c>
      <c r="E39" s="64"/>
      <c r="F39" s="64"/>
      <c r="G39" s="6"/>
      <c r="H39" s="70"/>
    </row>
    <row r="40" spans="1:9" x14ac:dyDescent="0.35">
      <c r="A40" s="7" t="s">
        <v>244</v>
      </c>
      <c r="B40" s="28" t="s">
        <v>213</v>
      </c>
      <c r="C40" s="11" t="s">
        <v>15</v>
      </c>
      <c r="D40" s="6" t="s">
        <v>10</v>
      </c>
      <c r="E40" s="64"/>
      <c r="F40" s="64"/>
      <c r="G40" s="6"/>
      <c r="H40" s="72"/>
    </row>
    <row r="41" spans="1:9" x14ac:dyDescent="0.35">
      <c r="A41" s="7">
        <v>46230</v>
      </c>
      <c r="B41" s="28" t="s">
        <v>213</v>
      </c>
      <c r="C41" s="8" t="s">
        <v>15</v>
      </c>
      <c r="D41" s="6" t="s">
        <v>10</v>
      </c>
      <c r="E41" s="64"/>
      <c r="F41" s="64"/>
      <c r="G41" s="10"/>
      <c r="H41" s="72"/>
    </row>
    <row r="42" spans="1:9" x14ac:dyDescent="0.35">
      <c r="A42" s="7">
        <v>46231</v>
      </c>
      <c r="B42" s="28" t="s">
        <v>213</v>
      </c>
      <c r="C42" s="11" t="s">
        <v>15</v>
      </c>
      <c r="D42" s="6" t="s">
        <v>10</v>
      </c>
      <c r="E42" s="64"/>
      <c r="F42" s="64"/>
      <c r="G42" s="10"/>
      <c r="H42" s="70"/>
    </row>
    <row r="43" spans="1:9" x14ac:dyDescent="0.35">
      <c r="A43" s="7">
        <v>46232</v>
      </c>
      <c r="B43" s="28" t="s">
        <v>213</v>
      </c>
      <c r="C43" s="8" t="s">
        <v>15</v>
      </c>
      <c r="D43" s="6" t="s">
        <v>10</v>
      </c>
      <c r="E43" s="64"/>
      <c r="F43" s="64"/>
      <c r="G43" s="10"/>
      <c r="H43" s="70"/>
    </row>
    <row r="44" spans="1:9" x14ac:dyDescent="0.35">
      <c r="A44" s="7">
        <v>46233</v>
      </c>
      <c r="B44" s="28" t="s">
        <v>213</v>
      </c>
      <c r="C44" s="11" t="s">
        <v>15</v>
      </c>
      <c r="D44" s="6" t="s">
        <v>10</v>
      </c>
      <c r="E44" s="96"/>
      <c r="F44" s="64"/>
      <c r="G44" s="10"/>
      <c r="H44" s="70"/>
    </row>
    <row r="45" spans="1:9" x14ac:dyDescent="0.35">
      <c r="A45" s="7">
        <v>46234</v>
      </c>
      <c r="B45" s="28" t="s">
        <v>213</v>
      </c>
      <c r="C45" s="11" t="s">
        <v>15</v>
      </c>
      <c r="D45" s="6" t="s">
        <v>10</v>
      </c>
      <c r="E45" s="96"/>
      <c r="F45" s="64"/>
      <c r="G45" s="10"/>
      <c r="H45" s="70"/>
    </row>
    <row r="46" spans="1:9" x14ac:dyDescent="0.35">
      <c r="E46" s="76"/>
      <c r="F46" s="76"/>
      <c r="H46" s="73"/>
    </row>
    <row r="47" spans="1:9" x14ac:dyDescent="0.35">
      <c r="E47" s="142"/>
    </row>
  </sheetData>
  <mergeCells count="2">
    <mergeCell ref="J4:K8"/>
    <mergeCell ref="J9:K11"/>
  </mergeCells>
  <phoneticPr fontId="1" type="noConversion"/>
  <pageMargins left="0.75" right="0.75" top="1" bottom="1" header="0.5" footer="0.5"/>
  <pageSetup paperSize="9" orientation="portrait" horizontalDpi="4294967293" verticalDpi="0"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5D2B-5CEC-4D79-8EFB-B1342A0C735C}">
  <dimension ref="A1:K47"/>
  <sheetViews>
    <sheetView zoomScale="78" zoomScaleNormal="115" workbookViewId="0">
      <selection activeCell="E12" sqref="E12"/>
    </sheetView>
  </sheetViews>
  <sheetFormatPr baseColWidth="10" defaultColWidth="8.7265625" defaultRowHeight="14.5" x14ac:dyDescent="0.35"/>
  <cols>
    <col min="1" max="1" width="13.7265625" customWidth="1"/>
    <col min="2" max="2" width="14.81640625" customWidth="1"/>
    <col min="3" max="3" width="15.26953125" style="4" bestFit="1" customWidth="1"/>
    <col min="4" max="4" width="18.54296875" customWidth="1"/>
    <col min="5" max="5" width="16.7265625" style="82" customWidth="1"/>
    <col min="6" max="6" width="22" style="82" customWidth="1"/>
    <col min="7" max="7" width="18.1796875" customWidth="1"/>
    <col min="8" max="8" width="48.08984375" style="66" customWidth="1"/>
    <col min="9" max="9" width="20" customWidth="1"/>
    <col min="11" max="11" width="31.08984375" customWidth="1"/>
    <col min="12" max="12" width="11" customWidth="1"/>
  </cols>
  <sheetData>
    <row r="1" spans="1:11" ht="21" customHeight="1" x14ac:dyDescent="0.35">
      <c r="A1" s="1" t="s">
        <v>0</v>
      </c>
      <c r="B1" s="1" t="s">
        <v>8</v>
      </c>
      <c r="C1" s="3" t="s">
        <v>1</v>
      </c>
      <c r="D1" s="1" t="s">
        <v>12</v>
      </c>
      <c r="E1" s="49" t="s">
        <v>2</v>
      </c>
      <c r="F1" s="82" t="s">
        <v>17</v>
      </c>
      <c r="G1" s="1" t="s">
        <v>3</v>
      </c>
      <c r="H1" s="79" t="s">
        <v>64</v>
      </c>
    </row>
    <row r="2" spans="1:11" ht="20.5" customHeight="1" x14ac:dyDescent="0.35">
      <c r="A2" s="2">
        <v>46283</v>
      </c>
      <c r="B2" s="1" t="s">
        <v>215</v>
      </c>
      <c r="C2" s="3" t="s">
        <v>15</v>
      </c>
      <c r="D2" s="1" t="s">
        <v>10</v>
      </c>
      <c r="E2" s="49">
        <v>22000</v>
      </c>
      <c r="F2" s="49">
        <v>15000</v>
      </c>
      <c r="G2" s="1" t="s">
        <v>16</v>
      </c>
      <c r="H2" s="67"/>
    </row>
    <row r="3" spans="1:11" ht="15" thickBot="1" x14ac:dyDescent="0.4">
      <c r="A3" s="2" t="s">
        <v>176</v>
      </c>
      <c r="B3" s="1" t="s">
        <v>215</v>
      </c>
      <c r="C3" s="3" t="s">
        <v>15</v>
      </c>
      <c r="D3" s="1" t="s">
        <v>10</v>
      </c>
      <c r="E3" s="58">
        <v>25000</v>
      </c>
      <c r="F3" s="49"/>
      <c r="G3" s="1" t="s">
        <v>16</v>
      </c>
      <c r="H3" s="65"/>
    </row>
    <row r="4" spans="1:11" x14ac:dyDescent="0.35">
      <c r="A4" s="2" t="s">
        <v>18</v>
      </c>
      <c r="B4" s="1" t="s">
        <v>215</v>
      </c>
      <c r="C4" s="3" t="s">
        <v>15</v>
      </c>
      <c r="D4" s="1" t="s">
        <v>10</v>
      </c>
      <c r="E4" s="49"/>
      <c r="F4" s="49">
        <v>15000</v>
      </c>
      <c r="G4" s="1" t="s">
        <v>16</v>
      </c>
      <c r="H4" s="65"/>
      <c r="J4" s="149" t="s">
        <v>236</v>
      </c>
      <c r="K4" s="150"/>
    </row>
    <row r="5" spans="1:11" x14ac:dyDescent="0.35">
      <c r="A5" s="2">
        <v>46286</v>
      </c>
      <c r="B5" s="1" t="s">
        <v>215</v>
      </c>
      <c r="C5" s="3" t="s">
        <v>15</v>
      </c>
      <c r="D5" s="1" t="s">
        <v>10</v>
      </c>
      <c r="E5" s="49">
        <v>15000</v>
      </c>
      <c r="F5" s="49">
        <v>15000</v>
      </c>
      <c r="G5" s="1" t="s">
        <v>16</v>
      </c>
      <c r="H5" s="65"/>
      <c r="J5" s="151"/>
      <c r="K5" s="152"/>
    </row>
    <row r="6" spans="1:11" x14ac:dyDescent="0.35">
      <c r="A6" s="2">
        <v>46287</v>
      </c>
      <c r="B6" s="1" t="s">
        <v>215</v>
      </c>
      <c r="C6" s="3" t="s">
        <v>15</v>
      </c>
      <c r="D6" s="1" t="s">
        <v>10</v>
      </c>
      <c r="E6" s="49">
        <v>5000</v>
      </c>
      <c r="F6" s="49">
        <v>15000</v>
      </c>
      <c r="G6" s="1" t="s">
        <v>16</v>
      </c>
      <c r="H6" s="65"/>
      <c r="J6" s="151"/>
      <c r="K6" s="152"/>
    </row>
    <row r="7" spans="1:11" x14ac:dyDescent="0.35">
      <c r="A7" s="2">
        <v>46288</v>
      </c>
      <c r="B7" s="1" t="s">
        <v>215</v>
      </c>
      <c r="C7" s="3" t="s">
        <v>15</v>
      </c>
      <c r="D7" s="1" t="s">
        <v>10</v>
      </c>
      <c r="E7" s="49"/>
      <c r="F7" s="49"/>
      <c r="G7" s="1" t="s">
        <v>16</v>
      </c>
      <c r="H7" s="65"/>
      <c r="J7" s="151"/>
      <c r="K7" s="152"/>
    </row>
    <row r="8" spans="1:11" x14ac:dyDescent="0.35">
      <c r="A8" s="2">
        <v>46289</v>
      </c>
      <c r="B8" s="1" t="s">
        <v>215</v>
      </c>
      <c r="C8" s="3" t="s">
        <v>15</v>
      </c>
      <c r="D8" s="1" t="s">
        <v>10</v>
      </c>
      <c r="E8" s="49"/>
      <c r="F8" s="49"/>
      <c r="G8" s="1" t="s">
        <v>16</v>
      </c>
      <c r="H8" s="143"/>
      <c r="J8" s="151"/>
      <c r="K8" s="152"/>
    </row>
    <row r="9" spans="1:11" x14ac:dyDescent="0.35">
      <c r="A9" s="2"/>
      <c r="B9" s="1"/>
      <c r="C9" s="3"/>
      <c r="D9" s="1"/>
      <c r="E9" s="75">
        <f>SUM(E2:E8)</f>
        <v>67000</v>
      </c>
      <c r="F9" s="75">
        <f>SUM(F2:F8)</f>
        <v>60000</v>
      </c>
      <c r="G9" s="1"/>
      <c r="H9" s="144"/>
      <c r="J9" s="153">
        <f>SUM(E10+E19+E29+E38)</f>
        <v>0</v>
      </c>
      <c r="K9" s="154"/>
    </row>
    <row r="10" spans="1:11" x14ac:dyDescent="0.35">
      <c r="A10" s="2"/>
      <c r="B10" s="1"/>
      <c r="C10" s="3"/>
      <c r="D10" s="1"/>
      <c r="E10" s="60"/>
      <c r="F10" s="75"/>
      <c r="G10" s="1"/>
      <c r="H10" s="144"/>
      <c r="J10" s="153"/>
      <c r="K10" s="154"/>
    </row>
    <row r="11" spans="1:11" ht="15" thickBot="1" x14ac:dyDescent="0.4">
      <c r="A11" s="2" t="s">
        <v>176</v>
      </c>
      <c r="B11" s="1"/>
      <c r="C11" s="3" t="s">
        <v>15</v>
      </c>
      <c r="D11" s="1" t="s">
        <v>10</v>
      </c>
      <c r="E11" s="63"/>
      <c r="F11" s="49"/>
      <c r="G11" s="1"/>
      <c r="H11" s="144"/>
      <c r="J11" s="155"/>
      <c r="K11" s="156"/>
    </row>
    <row r="12" spans="1:11" x14ac:dyDescent="0.35">
      <c r="A12" s="2" t="s">
        <v>18</v>
      </c>
      <c r="B12" s="1"/>
      <c r="C12" s="3" t="s">
        <v>15</v>
      </c>
      <c r="D12" s="1" t="s">
        <v>10</v>
      </c>
      <c r="E12" s="63"/>
      <c r="F12" s="49"/>
      <c r="G12" s="1"/>
      <c r="H12" s="145"/>
    </row>
    <row r="13" spans="1:11" x14ac:dyDescent="0.35">
      <c r="A13" s="2">
        <v>46209</v>
      </c>
      <c r="B13" s="1"/>
      <c r="C13" s="3" t="s">
        <v>15</v>
      </c>
      <c r="D13" s="1" t="s">
        <v>10</v>
      </c>
      <c r="E13" s="63"/>
      <c r="F13" s="49"/>
      <c r="G13" s="1"/>
      <c r="H13" s="145"/>
    </row>
    <row r="14" spans="1:11" x14ac:dyDescent="0.35">
      <c r="A14" s="2">
        <v>46210</v>
      </c>
      <c r="B14" s="1"/>
      <c r="C14" s="3" t="s">
        <v>15</v>
      </c>
      <c r="D14" s="1" t="s">
        <v>10</v>
      </c>
      <c r="E14" s="63"/>
      <c r="F14" s="49"/>
      <c r="G14" s="1"/>
      <c r="H14" s="145"/>
    </row>
    <row r="15" spans="1:11" x14ac:dyDescent="0.35">
      <c r="A15" s="2">
        <v>46211</v>
      </c>
      <c r="B15" s="1"/>
      <c r="C15" s="3" t="s">
        <v>15</v>
      </c>
      <c r="D15" s="1" t="s">
        <v>10</v>
      </c>
      <c r="E15" s="63"/>
      <c r="F15" s="49"/>
      <c r="G15" s="1"/>
      <c r="H15" s="145"/>
    </row>
    <row r="16" spans="1:11" ht="41.5" customHeight="1" x14ac:dyDescent="0.35">
      <c r="A16" s="2">
        <v>46212</v>
      </c>
      <c r="B16" s="1"/>
      <c r="C16" s="3" t="s">
        <v>15</v>
      </c>
      <c r="D16" s="1" t="s">
        <v>10</v>
      </c>
      <c r="E16" s="63"/>
      <c r="F16" s="49"/>
      <c r="G16" s="1"/>
      <c r="H16" s="146"/>
    </row>
    <row r="17" spans="1:9" x14ac:dyDescent="0.35">
      <c r="A17" s="2">
        <v>46213</v>
      </c>
      <c r="B17" s="1"/>
      <c r="C17" s="3" t="s">
        <v>15</v>
      </c>
      <c r="D17" s="1" t="s">
        <v>10</v>
      </c>
      <c r="E17" s="63"/>
      <c r="F17" s="49"/>
      <c r="G17" s="1"/>
      <c r="H17" s="145"/>
    </row>
    <row r="18" spans="1:9" x14ac:dyDescent="0.35">
      <c r="B18" s="1"/>
      <c r="C18" s="3"/>
      <c r="D18" s="1"/>
      <c r="E18" s="75"/>
      <c r="F18" s="75"/>
      <c r="G18" s="13"/>
      <c r="H18" s="145"/>
    </row>
    <row r="19" spans="1:9" x14ac:dyDescent="0.35">
      <c r="B19" s="1"/>
      <c r="D19" s="1"/>
      <c r="E19" s="60"/>
      <c r="F19" s="83"/>
      <c r="G19" s="1"/>
      <c r="H19" s="145"/>
      <c r="I19" s="90"/>
    </row>
    <row r="20" spans="1:9" x14ac:dyDescent="0.35">
      <c r="A20" s="2" t="s">
        <v>13</v>
      </c>
      <c r="B20" s="1" t="s">
        <v>23</v>
      </c>
      <c r="C20" s="3" t="s">
        <v>24</v>
      </c>
      <c r="D20" s="1" t="s">
        <v>25</v>
      </c>
      <c r="E20" s="49" t="s">
        <v>26</v>
      </c>
      <c r="F20" s="49" t="s">
        <v>27</v>
      </c>
      <c r="G20" s="1" t="s">
        <v>28</v>
      </c>
      <c r="H20" s="65" t="s">
        <v>29</v>
      </c>
      <c r="I20" s="90" t="s">
        <v>30</v>
      </c>
    </row>
    <row r="21" spans="1:9" x14ac:dyDescent="0.35">
      <c r="A21" s="2">
        <v>46214</v>
      </c>
      <c r="B21" s="1"/>
      <c r="C21" s="3" t="s">
        <v>15</v>
      </c>
      <c r="D21" s="1" t="s">
        <v>10</v>
      </c>
      <c r="E21" s="49"/>
      <c r="F21" s="49"/>
      <c r="G21" s="1"/>
      <c r="H21" s="65"/>
      <c r="I21" s="90"/>
    </row>
    <row r="22" spans="1:9" x14ac:dyDescent="0.35">
      <c r="A22" s="2" t="s">
        <v>18</v>
      </c>
      <c r="B22" s="1"/>
      <c r="C22" s="3" t="s">
        <v>15</v>
      </c>
      <c r="D22" s="1" t="s">
        <v>10</v>
      </c>
      <c r="E22" s="49"/>
      <c r="F22" s="49"/>
      <c r="G22" s="1"/>
      <c r="H22" s="147"/>
      <c r="I22" s="91"/>
    </row>
    <row r="23" spans="1:9" x14ac:dyDescent="0.35">
      <c r="A23" s="2">
        <v>46216</v>
      </c>
      <c r="B23" s="1"/>
      <c r="C23" s="3" t="s">
        <v>15</v>
      </c>
      <c r="D23" s="1" t="s">
        <v>10</v>
      </c>
      <c r="E23" s="49"/>
      <c r="F23" s="49"/>
      <c r="G23" s="1"/>
      <c r="H23" s="65"/>
      <c r="I23" s="91"/>
    </row>
    <row r="24" spans="1:9" x14ac:dyDescent="0.35">
      <c r="A24" s="2">
        <v>46217</v>
      </c>
      <c r="B24" s="1"/>
      <c r="C24" s="3" t="s">
        <v>15</v>
      </c>
      <c r="D24" s="1" t="s">
        <v>10</v>
      </c>
      <c r="E24" s="49"/>
      <c r="F24" s="49"/>
      <c r="G24" s="1"/>
      <c r="H24" s="79"/>
      <c r="I24" s="91"/>
    </row>
    <row r="25" spans="1:9" x14ac:dyDescent="0.35">
      <c r="A25" s="2">
        <v>46218</v>
      </c>
      <c r="B25" s="1"/>
      <c r="C25" s="3" t="s">
        <v>15</v>
      </c>
      <c r="D25" s="1" t="s">
        <v>10</v>
      </c>
      <c r="E25" s="49"/>
      <c r="F25" s="49"/>
      <c r="G25" s="1"/>
      <c r="H25" s="65"/>
      <c r="I25" s="1"/>
    </row>
    <row r="26" spans="1:9" x14ac:dyDescent="0.35">
      <c r="A26" s="2">
        <v>46219</v>
      </c>
      <c r="B26" s="1"/>
      <c r="C26" s="3" t="s">
        <v>15</v>
      </c>
      <c r="D26" s="1" t="s">
        <v>10</v>
      </c>
      <c r="E26" s="49"/>
      <c r="F26" s="49"/>
      <c r="G26" s="1"/>
      <c r="H26" s="65"/>
      <c r="I26" s="1"/>
    </row>
    <row r="27" spans="1:9" x14ac:dyDescent="0.35">
      <c r="A27" s="2">
        <v>46220</v>
      </c>
      <c r="B27" s="1"/>
      <c r="C27" s="3" t="s">
        <v>15</v>
      </c>
      <c r="D27" s="1" t="s">
        <v>10</v>
      </c>
      <c r="E27" s="49"/>
      <c r="F27" s="49"/>
      <c r="G27" s="1"/>
      <c r="H27" s="65"/>
      <c r="I27" s="1"/>
    </row>
    <row r="28" spans="1:9" x14ac:dyDescent="0.35">
      <c r="A28" s="2"/>
      <c r="B28" s="1"/>
      <c r="C28" s="3"/>
      <c r="D28" s="1"/>
      <c r="E28" s="76"/>
      <c r="F28" s="75"/>
      <c r="G28" s="1"/>
      <c r="H28" s="69"/>
      <c r="I28" s="105"/>
    </row>
    <row r="29" spans="1:9" x14ac:dyDescent="0.35">
      <c r="E29" s="142"/>
      <c r="F29" s="84"/>
      <c r="I29" s="36"/>
    </row>
    <row r="30" spans="1:9" x14ac:dyDescent="0.35">
      <c r="A30" s="7">
        <v>46221</v>
      </c>
      <c r="B30" s="28"/>
      <c r="C30" s="8" t="s">
        <v>15</v>
      </c>
      <c r="D30" s="6" t="s">
        <v>10</v>
      </c>
      <c r="E30" s="64"/>
      <c r="F30" s="64"/>
      <c r="G30" s="6"/>
      <c r="H30" s="70"/>
      <c r="I30" s="9"/>
    </row>
    <row r="31" spans="1:9" x14ac:dyDescent="0.35">
      <c r="A31" s="7" t="s">
        <v>244</v>
      </c>
      <c r="B31" s="28"/>
      <c r="C31" s="11" t="s">
        <v>15</v>
      </c>
      <c r="D31" s="6" t="s">
        <v>10</v>
      </c>
      <c r="E31" s="64"/>
      <c r="F31" s="64"/>
      <c r="G31" s="6"/>
      <c r="H31" s="72"/>
      <c r="I31" s="9"/>
    </row>
    <row r="32" spans="1:9" x14ac:dyDescent="0.35">
      <c r="A32" s="7" t="s">
        <v>245</v>
      </c>
      <c r="B32" s="28"/>
      <c r="C32" s="8" t="s">
        <v>15</v>
      </c>
      <c r="D32" s="6" t="s">
        <v>10</v>
      </c>
      <c r="E32" s="64"/>
      <c r="F32" s="64"/>
      <c r="G32" s="10"/>
      <c r="H32" s="72"/>
      <c r="I32" s="12"/>
    </row>
    <row r="33" spans="1:9" x14ac:dyDescent="0.35">
      <c r="A33" s="7" t="s">
        <v>247</v>
      </c>
      <c r="B33" s="28"/>
      <c r="C33" s="11" t="s">
        <v>15</v>
      </c>
      <c r="D33" s="6" t="s">
        <v>10</v>
      </c>
      <c r="E33" s="96"/>
      <c r="F33" s="64"/>
      <c r="G33" s="10"/>
      <c r="H33" s="70"/>
      <c r="I33" s="12"/>
    </row>
    <row r="34" spans="1:9" x14ac:dyDescent="0.35">
      <c r="A34" s="7" t="s">
        <v>248</v>
      </c>
      <c r="B34" s="28"/>
      <c r="C34" s="8" t="s">
        <v>15</v>
      </c>
      <c r="D34" s="6" t="s">
        <v>10</v>
      </c>
      <c r="E34" s="96"/>
      <c r="F34" s="64"/>
      <c r="G34" s="10"/>
      <c r="H34" s="70"/>
      <c r="I34" s="114"/>
    </row>
    <row r="35" spans="1:9" x14ac:dyDescent="0.35">
      <c r="A35" s="7" t="s">
        <v>249</v>
      </c>
      <c r="B35" s="28"/>
      <c r="C35" s="11" t="s">
        <v>15</v>
      </c>
      <c r="D35" s="6" t="s">
        <v>10</v>
      </c>
      <c r="E35" s="96"/>
      <c r="F35" s="64"/>
      <c r="G35" s="10"/>
      <c r="H35" s="70"/>
      <c r="I35" s="114"/>
    </row>
    <row r="36" spans="1:9" x14ac:dyDescent="0.35">
      <c r="A36" s="7" t="s">
        <v>250</v>
      </c>
      <c r="B36" s="28"/>
      <c r="C36" s="11" t="s">
        <v>15</v>
      </c>
      <c r="D36" s="6" t="s">
        <v>10</v>
      </c>
      <c r="E36" s="96"/>
      <c r="F36" s="64"/>
      <c r="G36" s="10"/>
      <c r="H36" s="70"/>
      <c r="I36" s="114"/>
    </row>
    <row r="37" spans="1:9" x14ac:dyDescent="0.35">
      <c r="E37" s="76"/>
      <c r="F37" s="76"/>
      <c r="H37" s="73"/>
    </row>
    <row r="38" spans="1:9" x14ac:dyDescent="0.35">
      <c r="E38" s="142"/>
    </row>
    <row r="39" spans="1:9" x14ac:dyDescent="0.35">
      <c r="A39" s="7">
        <v>46228</v>
      </c>
      <c r="B39" s="28"/>
      <c r="C39" s="8" t="s">
        <v>15</v>
      </c>
      <c r="D39" s="6" t="s">
        <v>10</v>
      </c>
      <c r="E39" s="64"/>
      <c r="F39" s="64"/>
      <c r="G39" s="6"/>
      <c r="H39" s="70"/>
    </row>
    <row r="40" spans="1:9" x14ac:dyDescent="0.35">
      <c r="A40" s="7" t="s">
        <v>244</v>
      </c>
      <c r="B40" s="28"/>
      <c r="C40" s="11" t="s">
        <v>15</v>
      </c>
      <c r="D40" s="6" t="s">
        <v>10</v>
      </c>
      <c r="E40" s="64"/>
      <c r="F40" s="64"/>
      <c r="G40" s="6"/>
      <c r="H40" s="72"/>
    </row>
    <row r="41" spans="1:9" x14ac:dyDescent="0.35">
      <c r="A41" s="7">
        <v>46230</v>
      </c>
      <c r="B41" s="28"/>
      <c r="C41" s="8" t="s">
        <v>15</v>
      </c>
      <c r="D41" s="6" t="s">
        <v>10</v>
      </c>
      <c r="E41" s="64"/>
      <c r="F41" s="64"/>
      <c r="G41" s="10"/>
      <c r="H41" s="72"/>
    </row>
    <row r="42" spans="1:9" x14ac:dyDescent="0.35">
      <c r="A42" s="7">
        <v>46231</v>
      </c>
      <c r="B42" s="28"/>
      <c r="C42" s="11" t="s">
        <v>15</v>
      </c>
      <c r="D42" s="6" t="s">
        <v>10</v>
      </c>
      <c r="E42" s="64"/>
      <c r="F42" s="64"/>
      <c r="G42" s="10"/>
      <c r="H42" s="70"/>
    </row>
    <row r="43" spans="1:9" x14ac:dyDescent="0.35">
      <c r="A43" s="7">
        <v>46232</v>
      </c>
      <c r="B43" s="28"/>
      <c r="C43" s="8" t="s">
        <v>15</v>
      </c>
      <c r="D43" s="6" t="s">
        <v>10</v>
      </c>
      <c r="E43" s="64"/>
      <c r="F43" s="64"/>
      <c r="G43" s="10"/>
      <c r="H43" s="70"/>
    </row>
    <row r="44" spans="1:9" x14ac:dyDescent="0.35">
      <c r="A44" s="7">
        <v>46233</v>
      </c>
      <c r="B44" s="28"/>
      <c r="C44" s="11" t="s">
        <v>15</v>
      </c>
      <c r="D44" s="6" t="s">
        <v>10</v>
      </c>
      <c r="E44" s="96"/>
      <c r="F44" s="64"/>
      <c r="G44" s="10"/>
      <c r="H44" s="70"/>
    </row>
    <row r="45" spans="1:9" x14ac:dyDescent="0.35">
      <c r="A45" s="7">
        <v>46234</v>
      </c>
      <c r="B45" s="28"/>
      <c r="C45" s="11" t="s">
        <v>15</v>
      </c>
      <c r="D45" s="6" t="s">
        <v>10</v>
      </c>
      <c r="E45" s="96"/>
      <c r="F45" s="64"/>
      <c r="G45" s="10"/>
      <c r="H45" s="70"/>
    </row>
    <row r="46" spans="1:9" x14ac:dyDescent="0.35">
      <c r="E46" s="76"/>
      <c r="F46" s="76"/>
      <c r="H46" s="73"/>
    </row>
    <row r="47" spans="1:9" x14ac:dyDescent="0.35">
      <c r="E47" s="142"/>
    </row>
  </sheetData>
  <mergeCells count="2">
    <mergeCell ref="J4:K8"/>
    <mergeCell ref="J9:K11"/>
  </mergeCells>
  <phoneticPr fontId="1" type="noConversion"/>
  <pageMargins left="0.75" right="0.75" top="1" bottom="1" header="0.5" footer="0.5"/>
  <pageSetup paperSize="9" orientation="portrait" horizontalDpi="4294967293" verticalDpi="0"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5"/>
  <dimension ref="A1:J17"/>
  <sheetViews>
    <sheetView topLeftCell="A4" zoomScale="93" workbookViewId="0">
      <selection activeCell="I20" sqref="I20"/>
    </sheetView>
  </sheetViews>
  <sheetFormatPr baseColWidth="10" defaultColWidth="8.7265625" defaultRowHeight="14.5" x14ac:dyDescent="0.35"/>
  <cols>
    <col min="1" max="1" width="14.1796875" customWidth="1"/>
    <col min="2" max="2" width="13.08984375" customWidth="1"/>
    <col min="3" max="3" width="16.1796875" style="4" customWidth="1"/>
    <col min="4" max="4" width="24.81640625" customWidth="1"/>
    <col min="5" max="5" width="18.54296875" style="33" customWidth="1"/>
    <col min="6" max="6" width="23.36328125" customWidth="1"/>
    <col min="7" max="7" width="25.08984375" customWidth="1"/>
    <col min="8" max="8" width="15.81640625" style="50" customWidth="1"/>
    <col min="9" max="9" width="13.6328125" customWidth="1"/>
    <col min="10" max="10" width="13.08984375" bestFit="1" customWidth="1"/>
  </cols>
  <sheetData>
    <row r="1" spans="1:10" x14ac:dyDescent="0.35">
      <c r="A1" s="19" t="s">
        <v>0</v>
      </c>
      <c r="B1" s="19" t="s">
        <v>8</v>
      </c>
      <c r="C1" s="48" t="s">
        <v>1</v>
      </c>
      <c r="D1" s="19" t="s">
        <v>12</v>
      </c>
      <c r="E1" s="19" t="s">
        <v>2</v>
      </c>
      <c r="F1" s="92" t="s">
        <v>3</v>
      </c>
      <c r="G1" s="19" t="s">
        <v>4</v>
      </c>
      <c r="H1" s="49" t="s">
        <v>38</v>
      </c>
      <c r="I1" s="54" t="s">
        <v>4</v>
      </c>
    </row>
    <row r="2" spans="1:10" ht="77" customHeight="1" x14ac:dyDescent="0.35">
      <c r="A2" s="33"/>
      <c r="B2" s="51">
        <v>46054</v>
      </c>
      <c r="C2" s="48" t="s">
        <v>39</v>
      </c>
      <c r="D2" s="92" t="s">
        <v>99</v>
      </c>
      <c r="E2" s="49">
        <v>264000</v>
      </c>
      <c r="F2" s="19" t="s">
        <v>5</v>
      </c>
      <c r="G2" s="92" t="s">
        <v>100</v>
      </c>
      <c r="H2" s="49">
        <f>SUM(Tableau1[[#This Row],[Montant (FCFA)]])</f>
        <v>264000</v>
      </c>
      <c r="I2" s="161" t="s">
        <v>58</v>
      </c>
      <c r="J2" s="109">
        <f>SUM(Tableau1[Total])</f>
        <v>6789001</v>
      </c>
    </row>
    <row r="3" spans="1:10" x14ac:dyDescent="0.35">
      <c r="A3" s="32"/>
      <c r="B3" s="19" t="s">
        <v>60</v>
      </c>
      <c r="C3" s="48" t="s">
        <v>9</v>
      </c>
      <c r="D3" s="19" t="s">
        <v>10</v>
      </c>
      <c r="E3" s="49">
        <v>300000</v>
      </c>
      <c r="F3" s="19" t="s">
        <v>5</v>
      </c>
      <c r="G3" s="19"/>
      <c r="H3" s="49">
        <f>SUM(Tableau1[[#This Row],[Montant (FCFA)]])</f>
        <v>300000</v>
      </c>
      <c r="I3" s="161"/>
    </row>
    <row r="4" spans="1:10" x14ac:dyDescent="0.35">
      <c r="A4" s="19"/>
      <c r="B4" s="51">
        <v>45901</v>
      </c>
      <c r="C4" s="48" t="s">
        <v>9</v>
      </c>
      <c r="D4" s="19" t="s">
        <v>10</v>
      </c>
      <c r="E4" s="49">
        <v>300000</v>
      </c>
      <c r="F4" s="19" t="s">
        <v>5</v>
      </c>
      <c r="G4" s="19"/>
      <c r="H4" s="49">
        <f>SUM(Tableau1[[#This Row],[Montant (FCFA)]])</f>
        <v>300000</v>
      </c>
      <c r="I4" s="161"/>
    </row>
    <row r="5" spans="1:10" x14ac:dyDescent="0.35">
      <c r="A5" s="19"/>
      <c r="B5" s="51">
        <v>45901</v>
      </c>
      <c r="C5" s="48" t="s">
        <v>11</v>
      </c>
      <c r="D5" s="19" t="s">
        <v>10</v>
      </c>
      <c r="E5" s="49">
        <v>350000</v>
      </c>
      <c r="F5" s="19" t="s">
        <v>5</v>
      </c>
      <c r="G5" s="19"/>
      <c r="H5" s="49">
        <f>SUM(Tableau1[[#This Row],[Montant (FCFA)]])</f>
        <v>350000</v>
      </c>
      <c r="I5" s="161"/>
    </row>
    <row r="6" spans="1:10" ht="14.5" customHeight="1" x14ac:dyDescent="0.35">
      <c r="A6" s="33"/>
      <c r="B6" s="51">
        <v>45839</v>
      </c>
      <c r="C6" s="48" t="s">
        <v>9</v>
      </c>
      <c r="D6" s="19" t="s">
        <v>10</v>
      </c>
      <c r="E6" s="49">
        <v>400000</v>
      </c>
      <c r="F6" s="19" t="s">
        <v>5</v>
      </c>
      <c r="G6" s="19"/>
      <c r="H6" s="49">
        <f>SUM(Tableau1[[#This Row],[Montant (FCFA)]])</f>
        <v>400000</v>
      </c>
      <c r="I6" s="162" t="s">
        <v>59</v>
      </c>
    </row>
    <row r="7" spans="1:10" x14ac:dyDescent="0.35">
      <c r="A7" s="33"/>
      <c r="B7" s="51">
        <v>45931</v>
      </c>
      <c r="C7" s="48" t="s">
        <v>48</v>
      </c>
      <c r="D7" s="19" t="s">
        <v>10</v>
      </c>
      <c r="E7" s="49">
        <v>750000</v>
      </c>
      <c r="F7" s="19" t="s">
        <v>5</v>
      </c>
      <c r="G7" s="32" t="s">
        <v>49</v>
      </c>
      <c r="H7" s="49">
        <v>750000</v>
      </c>
      <c r="I7" s="163"/>
    </row>
    <row r="8" spans="1:10" x14ac:dyDescent="0.35">
      <c r="A8" s="33"/>
      <c r="B8" s="51">
        <v>45962</v>
      </c>
      <c r="C8" s="48" t="s">
        <v>48</v>
      </c>
      <c r="D8" s="19" t="s">
        <v>10</v>
      </c>
      <c r="E8" s="49">
        <v>600000</v>
      </c>
      <c r="F8" s="19" t="s">
        <v>5</v>
      </c>
      <c r="G8" s="32" t="s">
        <v>57</v>
      </c>
      <c r="H8" s="49">
        <v>600000</v>
      </c>
      <c r="I8" s="163"/>
    </row>
    <row r="9" spans="1:10" x14ac:dyDescent="0.35">
      <c r="A9" s="33"/>
      <c r="B9" s="51">
        <v>46010</v>
      </c>
      <c r="C9" s="48" t="s">
        <v>48</v>
      </c>
      <c r="D9" s="19" t="s">
        <v>10</v>
      </c>
      <c r="E9" s="49">
        <v>600000</v>
      </c>
      <c r="F9" s="19" t="s">
        <v>5</v>
      </c>
      <c r="G9" s="32" t="s">
        <v>71</v>
      </c>
      <c r="H9" s="49">
        <f>SUM(Tableau1[[#This Row],[Montant (FCFA)]])</f>
        <v>600000</v>
      </c>
      <c r="I9" s="163"/>
    </row>
    <row r="10" spans="1:10" x14ac:dyDescent="0.35">
      <c r="A10" s="33"/>
      <c r="B10" s="51">
        <v>46041</v>
      </c>
      <c r="C10" s="48" t="s">
        <v>48</v>
      </c>
      <c r="D10" s="19" t="s">
        <v>10</v>
      </c>
      <c r="E10" s="49">
        <v>600000</v>
      </c>
      <c r="F10" s="19" t="s">
        <v>5</v>
      </c>
      <c r="G10" s="32" t="s">
        <v>90</v>
      </c>
      <c r="H10" s="49">
        <f>SUM(Tableau1[[#This Row],[Montant (FCFA)]])</f>
        <v>600000</v>
      </c>
      <c r="I10" s="107"/>
    </row>
    <row r="11" spans="1:10" x14ac:dyDescent="0.35">
      <c r="A11" s="33"/>
      <c r="B11" s="51">
        <v>46054</v>
      </c>
      <c r="C11" s="48" t="s">
        <v>48</v>
      </c>
      <c r="D11" s="19" t="s">
        <v>10</v>
      </c>
      <c r="E11" s="49">
        <v>600000</v>
      </c>
      <c r="F11" s="19" t="s">
        <v>5</v>
      </c>
      <c r="G11" s="32" t="s">
        <v>91</v>
      </c>
      <c r="H11" s="49">
        <f>SUM(Tableau1[[#This Row],[Montant (FCFA)]])</f>
        <v>600000</v>
      </c>
    </row>
    <row r="12" spans="1:10" x14ac:dyDescent="0.35">
      <c r="A12" s="33"/>
      <c r="B12" s="51">
        <v>46082</v>
      </c>
      <c r="C12" s="48" t="s">
        <v>48</v>
      </c>
      <c r="D12" s="19" t="s">
        <v>10</v>
      </c>
      <c r="E12" s="49">
        <v>600000</v>
      </c>
      <c r="F12" s="19" t="s">
        <v>5</v>
      </c>
      <c r="G12" s="32" t="s">
        <v>152</v>
      </c>
      <c r="H12" s="49">
        <f>SUM(Tableau1[[#This Row],[Montant (FCFA)]])</f>
        <v>600000</v>
      </c>
    </row>
    <row r="13" spans="1:10" x14ac:dyDescent="0.35">
      <c r="A13" s="33"/>
      <c r="B13" s="51">
        <v>46113</v>
      </c>
      <c r="C13" s="48" t="s">
        <v>48</v>
      </c>
      <c r="D13" s="19" t="s">
        <v>10</v>
      </c>
      <c r="E13" s="49">
        <v>625000</v>
      </c>
      <c r="F13" s="19" t="s">
        <v>5</v>
      </c>
      <c r="G13" s="32" t="s">
        <v>166</v>
      </c>
      <c r="H13" s="49">
        <f>SUM(Tableau1[[#This Row],[Montant (FCFA)]])</f>
        <v>625000</v>
      </c>
    </row>
    <row r="14" spans="1:10" x14ac:dyDescent="0.35">
      <c r="A14" s="33"/>
      <c r="B14" s="51">
        <v>46143</v>
      </c>
      <c r="C14" s="48" t="s">
        <v>48</v>
      </c>
      <c r="D14" s="19" t="s">
        <v>10</v>
      </c>
      <c r="E14" s="49">
        <v>500000</v>
      </c>
      <c r="F14" s="19" t="s">
        <v>5</v>
      </c>
      <c r="G14" s="32" t="s">
        <v>228</v>
      </c>
      <c r="H14" s="49">
        <f>SUM(Tableau1[[#This Row],[Montant (FCFA)]])</f>
        <v>500000</v>
      </c>
    </row>
    <row r="15" spans="1:10" x14ac:dyDescent="0.35">
      <c r="A15" s="33"/>
      <c r="B15" s="51">
        <v>46174</v>
      </c>
      <c r="C15" s="48" t="s">
        <v>48</v>
      </c>
      <c r="D15" s="19" t="s">
        <v>10</v>
      </c>
      <c r="E15" s="49">
        <v>150000</v>
      </c>
      <c r="F15" s="19" t="s">
        <v>5</v>
      </c>
      <c r="G15" s="32" t="s">
        <v>229</v>
      </c>
      <c r="H15" s="49">
        <f>SUM(Tableau1[[#This Row],[Montant (FCFA)]])</f>
        <v>150000</v>
      </c>
    </row>
    <row r="16" spans="1:10" x14ac:dyDescent="0.35">
      <c r="A16" s="33"/>
      <c r="B16" s="51">
        <v>46204</v>
      </c>
      <c r="C16" s="48" t="s">
        <v>48</v>
      </c>
      <c r="D16" s="19" t="s">
        <v>10</v>
      </c>
      <c r="E16" s="49">
        <v>150001</v>
      </c>
      <c r="F16" s="19" t="s">
        <v>5</v>
      </c>
      <c r="G16" s="32" t="s">
        <v>255</v>
      </c>
      <c r="H16" s="49">
        <f>SUM(Tableau1[[#This Row],[Montant (FCFA)]])</f>
        <v>150001</v>
      </c>
    </row>
    <row r="17" spans="1:8" x14ac:dyDescent="0.35">
      <c r="A17" s="33"/>
      <c r="B17" s="19"/>
      <c r="C17" s="48"/>
      <c r="D17" s="19"/>
      <c r="E17" s="19"/>
      <c r="F17" s="19"/>
      <c r="G17" s="19"/>
      <c r="H17" s="52">
        <f>SUM(H6:H16)</f>
        <v>5575001</v>
      </c>
    </row>
  </sheetData>
  <mergeCells count="2">
    <mergeCell ref="I2:I5"/>
    <mergeCell ref="I6:I9"/>
  </mergeCells>
  <phoneticPr fontId="1" type="noConversion"/>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H21"/>
  <sheetViews>
    <sheetView topLeftCell="A13" workbookViewId="0">
      <selection activeCell="E28" sqref="E28"/>
    </sheetView>
  </sheetViews>
  <sheetFormatPr baseColWidth="10" defaultColWidth="8.7265625" defaultRowHeight="14.5" x14ac:dyDescent="0.35"/>
  <cols>
    <col min="1" max="1" width="32.26953125" customWidth="1"/>
    <col min="2" max="2" width="27.90625" customWidth="1"/>
    <col min="3" max="3" width="13.6328125" customWidth="1"/>
    <col min="4" max="4" width="16.36328125" customWidth="1"/>
    <col min="5" max="5" width="18.26953125" style="50" customWidth="1"/>
    <col min="6" max="6" width="37.08984375" customWidth="1"/>
    <col min="7" max="7" width="13.36328125" style="50" bestFit="1" customWidth="1"/>
    <col min="8" max="8" width="18" customWidth="1"/>
  </cols>
  <sheetData>
    <row r="1" spans="1:8" x14ac:dyDescent="0.35">
      <c r="A1" s="1" t="s">
        <v>0</v>
      </c>
      <c r="B1" s="1" t="s">
        <v>35</v>
      </c>
      <c r="C1" s="1" t="s">
        <v>8</v>
      </c>
      <c r="D1" s="1" t="s">
        <v>6</v>
      </c>
      <c r="E1" s="55" t="s">
        <v>2</v>
      </c>
      <c r="F1" s="1" t="s">
        <v>7</v>
      </c>
      <c r="G1" s="56" t="s">
        <v>38</v>
      </c>
    </row>
    <row r="2" spans="1:8" ht="14.5" customHeight="1" x14ac:dyDescent="0.35">
      <c r="A2" s="32" t="s">
        <v>34</v>
      </c>
      <c r="B2" s="32">
        <v>45948</v>
      </c>
      <c r="C2" s="19" t="s">
        <v>21</v>
      </c>
      <c r="D2" s="19" t="s">
        <v>22</v>
      </c>
      <c r="E2" s="49">
        <v>300000</v>
      </c>
      <c r="F2" s="19" t="s">
        <v>32</v>
      </c>
      <c r="G2" s="167">
        <f>SUM(Tableau2[Montant (FCFA)])</f>
        <v>5575000</v>
      </c>
    </row>
    <row r="3" spans="1:8" ht="14.5" customHeight="1" x14ac:dyDescent="0.35">
      <c r="A3" s="32">
        <v>45948</v>
      </c>
      <c r="B3" s="32">
        <v>45948</v>
      </c>
      <c r="C3" s="19" t="s">
        <v>21</v>
      </c>
      <c r="D3" s="19" t="s">
        <v>22</v>
      </c>
      <c r="E3" s="49">
        <v>400000</v>
      </c>
      <c r="F3" s="19" t="s">
        <v>33</v>
      </c>
      <c r="G3" s="168"/>
    </row>
    <row r="4" spans="1:8" ht="14.5" customHeight="1" x14ac:dyDescent="0.35">
      <c r="A4" s="32" t="s">
        <v>41</v>
      </c>
      <c r="B4" s="32">
        <v>45964</v>
      </c>
      <c r="C4" s="19" t="s">
        <v>21</v>
      </c>
      <c r="D4" s="19" t="s">
        <v>22</v>
      </c>
      <c r="E4" s="49">
        <v>300000</v>
      </c>
      <c r="F4" s="19" t="s">
        <v>32</v>
      </c>
      <c r="G4" s="168"/>
    </row>
    <row r="5" spans="1:8" ht="14.5" customHeight="1" x14ac:dyDescent="0.35">
      <c r="A5" s="32" t="s">
        <v>51</v>
      </c>
      <c r="B5" s="32">
        <v>45969</v>
      </c>
      <c r="C5" s="19" t="s">
        <v>50</v>
      </c>
      <c r="D5" s="19" t="s">
        <v>22</v>
      </c>
      <c r="E5" s="49">
        <v>150000</v>
      </c>
      <c r="F5" s="19" t="s">
        <v>32</v>
      </c>
      <c r="G5" s="168"/>
    </row>
    <row r="6" spans="1:8" ht="14.5" customHeight="1" x14ac:dyDescent="0.35">
      <c r="A6" s="32" t="s">
        <v>78</v>
      </c>
      <c r="B6" s="32">
        <v>45983</v>
      </c>
      <c r="C6" s="19" t="s">
        <v>50</v>
      </c>
      <c r="D6" s="19" t="s">
        <v>22</v>
      </c>
      <c r="E6" s="49">
        <v>300000</v>
      </c>
      <c r="F6" s="19" t="s">
        <v>32</v>
      </c>
      <c r="G6" s="168"/>
    </row>
    <row r="7" spans="1:8" ht="14.5" customHeight="1" x14ac:dyDescent="0.35">
      <c r="A7" s="32" t="s">
        <v>77</v>
      </c>
      <c r="B7" s="32">
        <v>45997</v>
      </c>
      <c r="C7" s="19" t="s">
        <v>61</v>
      </c>
      <c r="D7" s="19" t="s">
        <v>22</v>
      </c>
      <c r="E7" s="49">
        <v>300000</v>
      </c>
      <c r="F7" s="19" t="s">
        <v>32</v>
      </c>
      <c r="G7" s="168"/>
    </row>
    <row r="8" spans="1:8" ht="14.5" customHeight="1" x14ac:dyDescent="0.35">
      <c r="A8" s="32" t="s">
        <v>67</v>
      </c>
      <c r="B8" s="32">
        <v>46011</v>
      </c>
      <c r="C8" s="19" t="s">
        <v>61</v>
      </c>
      <c r="D8" s="19" t="s">
        <v>22</v>
      </c>
      <c r="E8" s="49">
        <v>300000</v>
      </c>
      <c r="F8" s="19" t="s">
        <v>32</v>
      </c>
      <c r="G8" s="168"/>
    </row>
    <row r="9" spans="1:8" ht="14.5" customHeight="1" x14ac:dyDescent="0.35">
      <c r="A9" s="32" t="s">
        <v>72</v>
      </c>
      <c r="B9" s="32">
        <v>46025</v>
      </c>
      <c r="C9" s="19" t="s">
        <v>75</v>
      </c>
      <c r="D9" s="19" t="s">
        <v>22</v>
      </c>
      <c r="E9" s="49">
        <v>300000</v>
      </c>
      <c r="F9" s="19" t="s">
        <v>32</v>
      </c>
      <c r="G9" s="168"/>
    </row>
    <row r="10" spans="1:8" ht="14.5" customHeight="1" x14ac:dyDescent="0.35">
      <c r="A10" s="32" t="s">
        <v>76</v>
      </c>
      <c r="B10" s="32">
        <v>46039</v>
      </c>
      <c r="C10" s="19" t="s">
        <v>75</v>
      </c>
      <c r="D10" s="19" t="s">
        <v>22</v>
      </c>
      <c r="E10" s="49">
        <v>300000</v>
      </c>
      <c r="F10" s="19" t="s">
        <v>32</v>
      </c>
      <c r="G10" s="168"/>
    </row>
    <row r="11" spans="1:8" ht="14.5" customHeight="1" x14ac:dyDescent="0.35">
      <c r="A11" s="32" t="s">
        <v>76</v>
      </c>
      <c r="B11" s="32">
        <v>46053</v>
      </c>
      <c r="C11" s="19" t="s">
        <v>75</v>
      </c>
      <c r="D11" s="19" t="s">
        <v>22</v>
      </c>
      <c r="E11" s="49">
        <v>300000</v>
      </c>
      <c r="F11" s="19" t="s">
        <v>32</v>
      </c>
      <c r="G11" s="168"/>
    </row>
    <row r="12" spans="1:8" ht="20" customHeight="1" x14ac:dyDescent="0.35">
      <c r="A12" s="32" t="s">
        <v>87</v>
      </c>
      <c r="B12" s="32">
        <v>46071</v>
      </c>
      <c r="C12" s="19" t="s">
        <v>88</v>
      </c>
      <c r="D12" s="19" t="s">
        <v>22</v>
      </c>
      <c r="E12" s="49">
        <v>300000</v>
      </c>
      <c r="F12" s="19" t="s">
        <v>32</v>
      </c>
      <c r="G12" s="168"/>
      <c r="H12" s="164" t="s">
        <v>103</v>
      </c>
    </row>
    <row r="13" spans="1:8" ht="14.5" customHeight="1" x14ac:dyDescent="0.35">
      <c r="A13" s="32" t="s">
        <v>92</v>
      </c>
      <c r="B13" s="32">
        <v>46080</v>
      </c>
      <c r="C13" s="19" t="s">
        <v>88</v>
      </c>
      <c r="D13" s="19" t="s">
        <v>22</v>
      </c>
      <c r="E13" s="49">
        <v>300000</v>
      </c>
      <c r="F13" s="19" t="s">
        <v>32</v>
      </c>
      <c r="G13" s="168"/>
      <c r="H13" s="164"/>
    </row>
    <row r="14" spans="1:8" ht="14.5" customHeight="1" x14ac:dyDescent="0.35">
      <c r="A14" s="32" t="s">
        <v>104</v>
      </c>
      <c r="B14" s="32">
        <v>46098</v>
      </c>
      <c r="C14" s="19" t="s">
        <v>105</v>
      </c>
      <c r="D14" s="19" t="s">
        <v>22</v>
      </c>
      <c r="E14" s="49">
        <v>300000</v>
      </c>
      <c r="F14" s="19" t="s">
        <v>32</v>
      </c>
      <c r="G14" s="168"/>
    </row>
    <row r="15" spans="1:8" ht="14.5" customHeight="1" x14ac:dyDescent="0.35">
      <c r="A15" s="32" t="s">
        <v>150</v>
      </c>
      <c r="B15" s="32">
        <v>46113</v>
      </c>
      <c r="C15" s="19" t="s">
        <v>151</v>
      </c>
      <c r="D15" s="19" t="s">
        <v>22</v>
      </c>
      <c r="E15" s="49">
        <v>300000</v>
      </c>
      <c r="F15" s="19" t="s">
        <v>32</v>
      </c>
      <c r="G15" s="168"/>
      <c r="H15" s="165">
        <f>SUM(E12:E20)</f>
        <v>2475000</v>
      </c>
    </row>
    <row r="16" spans="1:8" ht="14.5" customHeight="1" x14ac:dyDescent="0.35">
      <c r="A16" s="32" t="s">
        <v>163</v>
      </c>
      <c r="B16" s="32">
        <v>46137</v>
      </c>
      <c r="C16" s="19" t="s">
        <v>151</v>
      </c>
      <c r="D16" s="19" t="s">
        <v>22</v>
      </c>
      <c r="E16" s="49">
        <v>325000</v>
      </c>
      <c r="F16" s="19" t="s">
        <v>32</v>
      </c>
      <c r="G16" s="168"/>
      <c r="H16" s="166"/>
    </row>
    <row r="17" spans="1:7" x14ac:dyDescent="0.35">
      <c r="A17" s="32" t="s">
        <v>205</v>
      </c>
      <c r="B17" s="32">
        <v>46147</v>
      </c>
      <c r="C17" s="19" t="s">
        <v>164</v>
      </c>
      <c r="D17" s="19" t="s">
        <v>22</v>
      </c>
      <c r="E17" s="49">
        <v>300000</v>
      </c>
      <c r="F17" s="19" t="s">
        <v>32</v>
      </c>
      <c r="G17" s="168"/>
    </row>
    <row r="18" spans="1:7" x14ac:dyDescent="0.35">
      <c r="A18" s="32" t="s">
        <v>206</v>
      </c>
      <c r="B18" s="32">
        <v>46155</v>
      </c>
      <c r="C18" s="19" t="s">
        <v>164</v>
      </c>
      <c r="D18" s="19" t="s">
        <v>22</v>
      </c>
      <c r="E18" s="49">
        <v>300000</v>
      </c>
      <c r="F18" s="19" t="s">
        <v>32</v>
      </c>
      <c r="G18" s="168"/>
    </row>
    <row r="19" spans="1:7" x14ac:dyDescent="0.35">
      <c r="A19" s="32" t="s">
        <v>207</v>
      </c>
      <c r="B19" s="32">
        <v>46175</v>
      </c>
      <c r="C19" s="19" t="s">
        <v>164</v>
      </c>
      <c r="D19" s="19" t="s">
        <v>22</v>
      </c>
      <c r="E19" s="49">
        <v>200000</v>
      </c>
      <c r="F19" s="19" t="s">
        <v>32</v>
      </c>
      <c r="G19" s="168"/>
    </row>
    <row r="20" spans="1:7" x14ac:dyDescent="0.35">
      <c r="A20" s="32" t="s">
        <v>230</v>
      </c>
      <c r="B20" s="32">
        <v>46175</v>
      </c>
      <c r="C20" s="19" t="s">
        <v>231</v>
      </c>
      <c r="D20" s="19" t="s">
        <v>22</v>
      </c>
      <c r="E20" s="49">
        <v>150000</v>
      </c>
      <c r="F20" s="19" t="s">
        <v>32</v>
      </c>
      <c r="G20" s="168"/>
    </row>
    <row r="21" spans="1:7" x14ac:dyDescent="0.35">
      <c r="A21" s="32" t="s">
        <v>242</v>
      </c>
      <c r="B21" s="32">
        <v>46214</v>
      </c>
      <c r="C21" s="19" t="s">
        <v>241</v>
      </c>
      <c r="D21" s="19" t="s">
        <v>22</v>
      </c>
      <c r="E21" s="49">
        <v>150000</v>
      </c>
      <c r="F21" s="19" t="s">
        <v>32</v>
      </c>
      <c r="G21" s="168"/>
    </row>
  </sheetData>
  <mergeCells count="3">
    <mergeCell ref="H12:H13"/>
    <mergeCell ref="H15:H16"/>
    <mergeCell ref="G2:G21"/>
  </mergeCells>
  <phoneticPr fontId="1" type="noConversion"/>
  <pageMargins left="0.75" right="0.75" top="1" bottom="1" header="0.5" footer="0.5"/>
  <pageSetup paperSize="9" orientation="portrait" horizontalDpi="0"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EE05-BE25-4283-AED9-4E641341D82B}">
  <dimension ref="A1:G19"/>
  <sheetViews>
    <sheetView topLeftCell="A10" workbookViewId="0">
      <selection activeCell="F1" sqref="F1:F1048576"/>
    </sheetView>
  </sheetViews>
  <sheetFormatPr baseColWidth="10" defaultColWidth="8.7265625" defaultRowHeight="14.5" x14ac:dyDescent="0.35"/>
  <cols>
    <col min="1" max="1" width="27.90625" customWidth="1"/>
    <col min="2" max="2" width="13.6328125" customWidth="1"/>
    <col min="3" max="3" width="16.36328125" customWidth="1"/>
    <col min="4" max="4" width="18.26953125" style="50" customWidth="1"/>
    <col min="5" max="5" width="37.08984375" customWidth="1"/>
    <col min="6" max="6" width="12.36328125" style="74" bestFit="1" customWidth="1"/>
    <col min="7" max="7" width="18" customWidth="1"/>
  </cols>
  <sheetData>
    <row r="1" spans="1:7" ht="15" thickBot="1" x14ac:dyDescent="0.4">
      <c r="A1" s="1" t="s">
        <v>35</v>
      </c>
      <c r="B1" s="1" t="s">
        <v>8</v>
      </c>
      <c r="C1" s="1" t="s">
        <v>6</v>
      </c>
      <c r="D1" s="55" t="s">
        <v>2</v>
      </c>
      <c r="E1" s="1" t="s">
        <v>7</v>
      </c>
      <c r="F1" s="148" t="s">
        <v>38</v>
      </c>
    </row>
    <row r="2" spans="1:7" x14ac:dyDescent="0.35">
      <c r="A2" s="32">
        <v>46112</v>
      </c>
      <c r="B2" s="19" t="s">
        <v>93</v>
      </c>
      <c r="C2" s="19" t="s">
        <v>22</v>
      </c>
      <c r="D2" s="49">
        <v>500000</v>
      </c>
      <c r="E2" s="19" t="s">
        <v>155</v>
      </c>
      <c r="F2" s="169">
        <f>SUM(Tableau219[Montant (FCFA)])</f>
        <v>7125400</v>
      </c>
    </row>
    <row r="3" spans="1:7" x14ac:dyDescent="0.35">
      <c r="A3" s="32">
        <v>46113</v>
      </c>
      <c r="B3" s="19" t="s">
        <v>153</v>
      </c>
      <c r="C3" s="19" t="s">
        <v>22</v>
      </c>
      <c r="D3" s="49">
        <v>300000</v>
      </c>
      <c r="E3" s="19" t="s">
        <v>155</v>
      </c>
      <c r="F3" s="170"/>
    </row>
    <row r="4" spans="1:7" x14ac:dyDescent="0.35">
      <c r="A4" s="32">
        <v>46120</v>
      </c>
      <c r="B4" s="19" t="s">
        <v>153</v>
      </c>
      <c r="C4" s="19" t="s">
        <v>22</v>
      </c>
      <c r="D4" s="49">
        <v>900000</v>
      </c>
      <c r="E4" s="19" t="s">
        <v>155</v>
      </c>
      <c r="F4" s="170"/>
    </row>
    <row r="5" spans="1:7" x14ac:dyDescent="0.35">
      <c r="A5" s="32">
        <v>46125</v>
      </c>
      <c r="B5" s="19" t="s">
        <v>153</v>
      </c>
      <c r="C5" s="19" t="s">
        <v>22</v>
      </c>
      <c r="D5" s="49">
        <v>350000</v>
      </c>
      <c r="E5" s="19" t="s">
        <v>157</v>
      </c>
      <c r="F5" s="170"/>
    </row>
    <row r="6" spans="1:7" x14ac:dyDescent="0.35">
      <c r="A6" s="32">
        <v>46125</v>
      </c>
      <c r="B6" s="19" t="s">
        <v>153</v>
      </c>
      <c r="C6" s="19" t="s">
        <v>22</v>
      </c>
      <c r="D6" s="49">
        <v>400000</v>
      </c>
      <c r="E6" s="19" t="s">
        <v>157</v>
      </c>
      <c r="F6" s="170"/>
    </row>
    <row r="7" spans="1:7" x14ac:dyDescent="0.35">
      <c r="A7" s="32">
        <v>46137</v>
      </c>
      <c r="B7" s="19" t="s">
        <v>153</v>
      </c>
      <c r="C7" s="19" t="s">
        <v>22</v>
      </c>
      <c r="D7" s="49">
        <v>325000</v>
      </c>
      <c r="E7" s="19" t="s">
        <v>157</v>
      </c>
      <c r="F7" s="170"/>
    </row>
    <row r="8" spans="1:7" x14ac:dyDescent="0.35">
      <c r="A8" s="32">
        <v>46147</v>
      </c>
      <c r="B8" s="19" t="s">
        <v>165</v>
      </c>
      <c r="C8" s="19" t="s">
        <v>22</v>
      </c>
      <c r="D8" s="49">
        <v>300000</v>
      </c>
      <c r="E8" s="19" t="s">
        <v>157</v>
      </c>
      <c r="F8" s="170"/>
    </row>
    <row r="9" spans="1:7" x14ac:dyDescent="0.35">
      <c r="A9" s="32">
        <v>46155</v>
      </c>
      <c r="B9" s="19" t="s">
        <v>165</v>
      </c>
      <c r="C9" s="19" t="s">
        <v>22</v>
      </c>
      <c r="D9" s="49">
        <v>300000</v>
      </c>
      <c r="E9" s="19" t="s">
        <v>155</v>
      </c>
      <c r="F9" s="170"/>
    </row>
    <row r="10" spans="1:7" x14ac:dyDescent="0.35">
      <c r="A10" s="32">
        <v>46175</v>
      </c>
      <c r="B10" s="19" t="s">
        <v>172</v>
      </c>
      <c r="C10" s="19" t="s">
        <v>22</v>
      </c>
      <c r="D10" s="49">
        <v>200000</v>
      </c>
      <c r="E10" s="19" t="s">
        <v>155</v>
      </c>
      <c r="F10" s="170"/>
    </row>
    <row r="11" spans="1:7" x14ac:dyDescent="0.35">
      <c r="A11" s="32">
        <v>46176</v>
      </c>
      <c r="B11" s="19" t="s">
        <v>172</v>
      </c>
      <c r="C11" s="19" t="s">
        <v>22</v>
      </c>
      <c r="D11" s="49">
        <v>1000000</v>
      </c>
      <c r="E11" s="19" t="s">
        <v>155</v>
      </c>
      <c r="F11" s="170"/>
    </row>
    <row r="12" spans="1:7" ht="20" customHeight="1" x14ac:dyDescent="0.35">
      <c r="A12" s="32">
        <v>46202</v>
      </c>
      <c r="B12" s="19" t="s">
        <v>172</v>
      </c>
      <c r="C12" s="19" t="s">
        <v>22</v>
      </c>
      <c r="D12" s="49">
        <v>150000</v>
      </c>
      <c r="E12" s="19" t="s">
        <v>155</v>
      </c>
      <c r="F12" s="170"/>
      <c r="G12" s="164"/>
    </row>
    <row r="13" spans="1:7" x14ac:dyDescent="0.35">
      <c r="A13" s="32">
        <v>46214</v>
      </c>
      <c r="B13" s="19" t="s">
        <v>213</v>
      </c>
      <c r="C13" s="19" t="s">
        <v>22</v>
      </c>
      <c r="D13" s="49">
        <v>150000</v>
      </c>
      <c r="E13" s="19" t="s">
        <v>155</v>
      </c>
      <c r="F13" s="170"/>
      <c r="G13" s="164"/>
    </row>
    <row r="14" spans="1:7" x14ac:dyDescent="0.35">
      <c r="A14" s="32">
        <v>46218</v>
      </c>
      <c r="B14" s="19" t="s">
        <v>213</v>
      </c>
      <c r="C14" s="19" t="s">
        <v>22</v>
      </c>
      <c r="D14" s="49">
        <v>400000</v>
      </c>
      <c r="E14" s="19" t="s">
        <v>157</v>
      </c>
      <c r="F14" s="170"/>
    </row>
    <row r="15" spans="1:7" x14ac:dyDescent="0.35">
      <c r="A15" s="32">
        <v>46218</v>
      </c>
      <c r="B15" s="19" t="s">
        <v>213</v>
      </c>
      <c r="C15" s="19" t="s">
        <v>22</v>
      </c>
      <c r="D15" s="49">
        <v>350000</v>
      </c>
      <c r="E15" s="19" t="s">
        <v>157</v>
      </c>
      <c r="F15" s="170"/>
    </row>
    <row r="16" spans="1:7" x14ac:dyDescent="0.35">
      <c r="A16" s="32">
        <v>46246</v>
      </c>
      <c r="B16" s="19" t="s">
        <v>214</v>
      </c>
      <c r="C16" s="19" t="s">
        <v>22</v>
      </c>
      <c r="D16" s="49">
        <v>350400</v>
      </c>
      <c r="E16" s="19" t="s">
        <v>157</v>
      </c>
      <c r="F16" s="170"/>
    </row>
    <row r="17" spans="1:6" x14ac:dyDescent="0.35">
      <c r="A17" s="32">
        <v>46246</v>
      </c>
      <c r="B17" s="19" t="s">
        <v>214</v>
      </c>
      <c r="C17" s="19" t="s">
        <v>22</v>
      </c>
      <c r="D17" s="49">
        <v>400000</v>
      </c>
      <c r="E17" s="19" t="s">
        <v>157</v>
      </c>
      <c r="F17" s="170"/>
    </row>
    <row r="18" spans="1:6" x14ac:dyDescent="0.35">
      <c r="A18" s="32">
        <v>46282</v>
      </c>
      <c r="B18" s="19" t="s">
        <v>215</v>
      </c>
      <c r="C18" s="19" t="s">
        <v>22</v>
      </c>
      <c r="D18" s="49">
        <v>400000</v>
      </c>
      <c r="E18" s="19" t="s">
        <v>157</v>
      </c>
      <c r="F18" s="170"/>
    </row>
    <row r="19" spans="1:6" ht="15" thickBot="1" x14ac:dyDescent="0.4">
      <c r="A19" s="32">
        <v>46282</v>
      </c>
      <c r="B19" s="19" t="s">
        <v>215</v>
      </c>
      <c r="C19" s="19" t="s">
        <v>22</v>
      </c>
      <c r="D19" s="49">
        <v>350000</v>
      </c>
      <c r="E19" s="19" t="s">
        <v>157</v>
      </c>
      <c r="F19" s="171"/>
    </row>
  </sheetData>
  <mergeCells count="2">
    <mergeCell ref="G12:G13"/>
    <mergeCell ref="F2:F19"/>
  </mergeCells>
  <phoneticPr fontId="1" type="noConversion"/>
  <pageMargins left="0.75" right="0.75" top="1" bottom="1" header="0.5" footer="0.5"/>
  <pageSetup paperSize="9" orientation="portrait" horizontalDpi="0"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9AC9-1A83-461B-9A36-0FD51576DD44}">
  <dimension ref="A1:J37"/>
  <sheetViews>
    <sheetView workbookViewId="0">
      <selection activeCell="J11" sqref="J11"/>
    </sheetView>
  </sheetViews>
  <sheetFormatPr baseColWidth="10" defaultColWidth="8.7265625" defaultRowHeight="14.5" x14ac:dyDescent="0.35"/>
  <cols>
    <col min="1" max="1" width="5" customWidth="1"/>
    <col min="2" max="2" width="15.08984375" customWidth="1"/>
    <col min="3" max="5" width="16.36328125" style="109" customWidth="1"/>
    <col min="6" max="6" width="15.26953125" customWidth="1"/>
    <col min="7" max="7" width="18.7265625" customWidth="1"/>
    <col min="8" max="8" width="22" customWidth="1"/>
    <col min="9" max="9" width="20" customWidth="1"/>
    <col min="10" max="10" width="16.453125" customWidth="1"/>
  </cols>
  <sheetData>
    <row r="1" spans="1:10" x14ac:dyDescent="0.35">
      <c r="A1" s="110" t="s">
        <v>106</v>
      </c>
      <c r="B1" s="110" t="s">
        <v>107</v>
      </c>
      <c r="C1" s="112" t="s">
        <v>108</v>
      </c>
      <c r="D1" s="112" t="s">
        <v>109</v>
      </c>
      <c r="E1" s="112" t="s">
        <v>110</v>
      </c>
      <c r="F1" s="110" t="s">
        <v>111</v>
      </c>
      <c r="G1" s="110" t="s">
        <v>3</v>
      </c>
      <c r="H1" s="110" t="s">
        <v>112</v>
      </c>
      <c r="I1" s="110" t="s">
        <v>4</v>
      </c>
      <c r="J1" s="33" t="s">
        <v>254</v>
      </c>
    </row>
    <row r="2" spans="1:10" x14ac:dyDescent="0.35">
      <c r="A2">
        <v>1</v>
      </c>
      <c r="B2" t="s">
        <v>113</v>
      </c>
      <c r="C2" s="109">
        <v>2422256</v>
      </c>
      <c r="D2" s="109">
        <v>2450000</v>
      </c>
      <c r="E2" s="109">
        <f>D2-C2</f>
        <v>27744</v>
      </c>
      <c r="F2" s="111" t="s">
        <v>113</v>
      </c>
      <c r="G2" s="33" t="s">
        <v>149</v>
      </c>
      <c r="J2" s="172">
        <f>SUM(D2:D7)</f>
        <v>14689024</v>
      </c>
    </row>
    <row r="3" spans="1:10" x14ac:dyDescent="0.35">
      <c r="A3">
        <v>2</v>
      </c>
      <c r="B3" t="s">
        <v>114</v>
      </c>
      <c r="C3" s="109">
        <v>2422256</v>
      </c>
      <c r="D3" s="109">
        <v>2550000</v>
      </c>
      <c r="E3" s="109">
        <f>D3-C3</f>
        <v>127744</v>
      </c>
      <c r="F3" s="116">
        <v>46175</v>
      </c>
      <c r="G3" s="33" t="s">
        <v>149</v>
      </c>
      <c r="J3" s="173"/>
    </row>
    <row r="4" spans="1:10" x14ac:dyDescent="0.35">
      <c r="A4">
        <v>3</v>
      </c>
      <c r="B4" t="s">
        <v>115</v>
      </c>
      <c r="C4" s="109">
        <v>2422256</v>
      </c>
      <c r="D4" s="109">
        <v>2422256</v>
      </c>
      <c r="E4" s="109">
        <f>D4-C4</f>
        <v>0</v>
      </c>
      <c r="F4" s="116">
        <v>46181</v>
      </c>
      <c r="G4" s="33" t="s">
        <v>149</v>
      </c>
      <c r="J4" s="173"/>
    </row>
    <row r="5" spans="1:10" x14ac:dyDescent="0.35">
      <c r="A5">
        <v>4</v>
      </c>
      <c r="B5" t="s">
        <v>116</v>
      </c>
      <c r="C5" s="109">
        <v>2422256</v>
      </c>
      <c r="D5" s="109">
        <v>2422256</v>
      </c>
      <c r="E5" s="109">
        <f t="shared" ref="E5:E37" si="0">D5-C5</f>
        <v>0</v>
      </c>
      <c r="F5" s="116">
        <v>46579</v>
      </c>
      <c r="G5" s="33" t="s">
        <v>149</v>
      </c>
      <c r="J5" s="173"/>
    </row>
    <row r="6" spans="1:10" x14ac:dyDescent="0.35">
      <c r="A6">
        <v>5</v>
      </c>
      <c r="B6" t="s">
        <v>117</v>
      </c>
      <c r="C6" s="109">
        <v>2422256</v>
      </c>
      <c r="D6" s="109">
        <v>2422256</v>
      </c>
      <c r="E6" s="109">
        <f t="shared" si="0"/>
        <v>0</v>
      </c>
      <c r="F6" s="116">
        <v>46234</v>
      </c>
      <c r="G6" s="33" t="s">
        <v>253</v>
      </c>
      <c r="J6" s="173"/>
    </row>
    <row r="7" spans="1:10" x14ac:dyDescent="0.35">
      <c r="A7">
        <v>6</v>
      </c>
      <c r="B7" t="s">
        <v>118</v>
      </c>
      <c r="C7" s="109">
        <v>2422256</v>
      </c>
      <c r="D7" s="109">
        <v>2422256</v>
      </c>
      <c r="E7" s="109">
        <f t="shared" si="0"/>
        <v>0</v>
      </c>
      <c r="F7" s="116">
        <v>46265</v>
      </c>
      <c r="G7" s="33" t="s">
        <v>253</v>
      </c>
    </row>
    <row r="8" spans="1:10" x14ac:dyDescent="0.35">
      <c r="A8">
        <v>7</v>
      </c>
      <c r="B8" t="s">
        <v>119</v>
      </c>
      <c r="C8" s="109">
        <v>2422256</v>
      </c>
      <c r="E8" s="109">
        <f t="shared" si="0"/>
        <v>-2422256</v>
      </c>
    </row>
    <row r="9" spans="1:10" x14ac:dyDescent="0.35">
      <c r="A9">
        <v>8</v>
      </c>
      <c r="B9" t="s">
        <v>120</v>
      </c>
      <c r="C9" s="109">
        <v>2422256</v>
      </c>
      <c r="E9" s="109">
        <f t="shared" si="0"/>
        <v>-2422256</v>
      </c>
    </row>
    <row r="10" spans="1:10" x14ac:dyDescent="0.35">
      <c r="A10">
        <v>9</v>
      </c>
      <c r="B10" t="s">
        <v>121</v>
      </c>
      <c r="C10" s="109">
        <v>2422256</v>
      </c>
      <c r="E10" s="109">
        <f t="shared" si="0"/>
        <v>-2422256</v>
      </c>
    </row>
    <row r="11" spans="1:10" x14ac:dyDescent="0.35">
      <c r="A11">
        <v>10</v>
      </c>
      <c r="B11" t="s">
        <v>122</v>
      </c>
      <c r="C11" s="109">
        <v>2422256</v>
      </c>
      <c r="E11" s="109">
        <f t="shared" si="0"/>
        <v>-2422256</v>
      </c>
    </row>
    <row r="12" spans="1:10" x14ac:dyDescent="0.35">
      <c r="A12">
        <v>11</v>
      </c>
      <c r="B12" t="s">
        <v>123</v>
      </c>
      <c r="C12" s="109">
        <v>2422256</v>
      </c>
      <c r="E12" s="109">
        <f t="shared" si="0"/>
        <v>-2422256</v>
      </c>
    </row>
    <row r="13" spans="1:10" x14ac:dyDescent="0.35">
      <c r="A13">
        <v>12</v>
      </c>
      <c r="B13" t="s">
        <v>124</v>
      </c>
      <c r="C13" s="109">
        <v>2422256</v>
      </c>
      <c r="E13" s="109">
        <f t="shared" si="0"/>
        <v>-2422256</v>
      </c>
    </row>
    <row r="14" spans="1:10" x14ac:dyDescent="0.35">
      <c r="A14">
        <v>13</v>
      </c>
      <c r="B14" t="s">
        <v>125</v>
      </c>
      <c r="C14" s="109">
        <v>2422256</v>
      </c>
      <c r="E14" s="109">
        <f t="shared" si="0"/>
        <v>-2422256</v>
      </c>
    </row>
    <row r="15" spans="1:10" x14ac:dyDescent="0.35">
      <c r="A15">
        <v>14</v>
      </c>
      <c r="B15" t="s">
        <v>126</v>
      </c>
      <c r="C15" s="109">
        <v>2422256</v>
      </c>
      <c r="E15" s="109">
        <f t="shared" si="0"/>
        <v>-2422256</v>
      </c>
    </row>
    <row r="16" spans="1:10" x14ac:dyDescent="0.35">
      <c r="A16">
        <v>15</v>
      </c>
      <c r="B16" t="s">
        <v>127</v>
      </c>
      <c r="C16" s="109">
        <v>2422256</v>
      </c>
      <c r="E16" s="109">
        <f t="shared" si="0"/>
        <v>-2422256</v>
      </c>
    </row>
    <row r="17" spans="1:5" x14ac:dyDescent="0.35">
      <c r="A17">
        <v>16</v>
      </c>
      <c r="B17" t="s">
        <v>128</v>
      </c>
      <c r="C17" s="109">
        <v>2422256</v>
      </c>
      <c r="E17" s="109">
        <f t="shared" si="0"/>
        <v>-2422256</v>
      </c>
    </row>
    <row r="18" spans="1:5" x14ac:dyDescent="0.35">
      <c r="A18">
        <v>17</v>
      </c>
      <c r="B18" t="s">
        <v>129</v>
      </c>
      <c r="C18" s="109">
        <v>2422256</v>
      </c>
      <c r="E18" s="109">
        <f t="shared" si="0"/>
        <v>-2422256</v>
      </c>
    </row>
    <row r="19" spans="1:5" x14ac:dyDescent="0.35">
      <c r="A19">
        <v>18</v>
      </c>
      <c r="B19" t="s">
        <v>130</v>
      </c>
      <c r="C19" s="109">
        <v>2422256</v>
      </c>
      <c r="E19" s="109">
        <f t="shared" si="0"/>
        <v>-2422256</v>
      </c>
    </row>
    <row r="20" spans="1:5" x14ac:dyDescent="0.35">
      <c r="A20">
        <v>19</v>
      </c>
      <c r="B20" t="s">
        <v>131</v>
      </c>
      <c r="C20" s="109">
        <v>2422256</v>
      </c>
      <c r="E20" s="109">
        <f t="shared" si="0"/>
        <v>-2422256</v>
      </c>
    </row>
    <row r="21" spans="1:5" x14ac:dyDescent="0.35">
      <c r="A21">
        <v>20</v>
      </c>
      <c r="B21" t="s">
        <v>132</v>
      </c>
      <c r="C21" s="109">
        <v>2422256</v>
      </c>
      <c r="E21" s="109">
        <f t="shared" si="0"/>
        <v>-2422256</v>
      </c>
    </row>
    <row r="22" spans="1:5" x14ac:dyDescent="0.35">
      <c r="A22">
        <v>21</v>
      </c>
      <c r="B22" t="s">
        <v>133</v>
      </c>
      <c r="C22" s="109">
        <v>2422256</v>
      </c>
      <c r="E22" s="109">
        <f t="shared" si="0"/>
        <v>-2422256</v>
      </c>
    </row>
    <row r="23" spans="1:5" x14ac:dyDescent="0.35">
      <c r="A23">
        <v>22</v>
      </c>
      <c r="B23" t="s">
        <v>134</v>
      </c>
      <c r="C23" s="109">
        <v>2422256</v>
      </c>
      <c r="E23" s="109">
        <f t="shared" si="0"/>
        <v>-2422256</v>
      </c>
    </row>
    <row r="24" spans="1:5" x14ac:dyDescent="0.35">
      <c r="A24">
        <v>23</v>
      </c>
      <c r="B24" t="s">
        <v>135</v>
      </c>
      <c r="C24" s="109">
        <v>2422256</v>
      </c>
      <c r="E24" s="109">
        <f t="shared" si="0"/>
        <v>-2422256</v>
      </c>
    </row>
    <row r="25" spans="1:5" x14ac:dyDescent="0.35">
      <c r="A25">
        <v>24</v>
      </c>
      <c r="B25" t="s">
        <v>136</v>
      </c>
      <c r="C25" s="109">
        <v>2422256</v>
      </c>
      <c r="E25" s="109">
        <f t="shared" si="0"/>
        <v>-2422256</v>
      </c>
    </row>
    <row r="26" spans="1:5" x14ac:dyDescent="0.35">
      <c r="A26">
        <v>25</v>
      </c>
      <c r="B26" t="s">
        <v>137</v>
      </c>
      <c r="C26" s="109">
        <v>2422256</v>
      </c>
      <c r="E26" s="109">
        <f t="shared" si="0"/>
        <v>-2422256</v>
      </c>
    </row>
    <row r="27" spans="1:5" x14ac:dyDescent="0.35">
      <c r="A27">
        <v>26</v>
      </c>
      <c r="B27" t="s">
        <v>138</v>
      </c>
      <c r="C27" s="109">
        <v>2422256</v>
      </c>
      <c r="E27" s="109">
        <f t="shared" si="0"/>
        <v>-2422256</v>
      </c>
    </row>
    <row r="28" spans="1:5" x14ac:dyDescent="0.35">
      <c r="A28">
        <v>27</v>
      </c>
      <c r="B28" t="s">
        <v>139</v>
      </c>
      <c r="C28" s="109">
        <v>2422256</v>
      </c>
      <c r="E28" s="109">
        <f t="shared" si="0"/>
        <v>-2422256</v>
      </c>
    </row>
    <row r="29" spans="1:5" x14ac:dyDescent="0.35">
      <c r="A29">
        <v>28</v>
      </c>
      <c r="B29" t="s">
        <v>140</v>
      </c>
      <c r="C29" s="109">
        <v>2422256</v>
      </c>
      <c r="E29" s="109">
        <f t="shared" si="0"/>
        <v>-2422256</v>
      </c>
    </row>
    <row r="30" spans="1:5" x14ac:dyDescent="0.35">
      <c r="A30">
        <v>29</v>
      </c>
      <c r="B30" t="s">
        <v>141</v>
      </c>
      <c r="C30" s="109">
        <v>2422256</v>
      </c>
      <c r="E30" s="109">
        <f t="shared" si="0"/>
        <v>-2422256</v>
      </c>
    </row>
    <row r="31" spans="1:5" x14ac:dyDescent="0.35">
      <c r="A31">
        <v>30</v>
      </c>
      <c r="B31" t="s">
        <v>142</v>
      </c>
      <c r="C31" s="109">
        <v>2422256</v>
      </c>
      <c r="E31" s="109">
        <f t="shared" si="0"/>
        <v>-2422256</v>
      </c>
    </row>
    <row r="32" spans="1:5" x14ac:dyDescent="0.35">
      <c r="A32">
        <v>31</v>
      </c>
      <c r="B32" t="s">
        <v>143</v>
      </c>
      <c r="C32" s="109">
        <v>2422256</v>
      </c>
      <c r="E32" s="109">
        <f t="shared" si="0"/>
        <v>-2422256</v>
      </c>
    </row>
    <row r="33" spans="1:5" x14ac:dyDescent="0.35">
      <c r="A33">
        <v>32</v>
      </c>
      <c r="B33" t="s">
        <v>144</v>
      </c>
      <c r="C33" s="109">
        <v>2422256</v>
      </c>
      <c r="E33" s="109">
        <f t="shared" si="0"/>
        <v>-2422256</v>
      </c>
    </row>
    <row r="34" spans="1:5" x14ac:dyDescent="0.35">
      <c r="A34">
        <v>33</v>
      </c>
      <c r="B34" t="s">
        <v>145</v>
      </c>
      <c r="C34" s="109">
        <v>2422256</v>
      </c>
      <c r="E34" s="109">
        <f t="shared" si="0"/>
        <v>-2422256</v>
      </c>
    </row>
    <row r="35" spans="1:5" x14ac:dyDescent="0.35">
      <c r="A35">
        <v>34</v>
      </c>
      <c r="B35" t="s">
        <v>146</v>
      </c>
      <c r="C35" s="109">
        <v>2422256</v>
      </c>
      <c r="E35" s="109">
        <f t="shared" si="0"/>
        <v>-2422256</v>
      </c>
    </row>
    <row r="36" spans="1:5" x14ac:dyDescent="0.35">
      <c r="A36">
        <v>35</v>
      </c>
      <c r="B36" t="s">
        <v>147</v>
      </c>
      <c r="C36" s="109">
        <v>2422256</v>
      </c>
      <c r="E36" s="109">
        <f t="shared" si="0"/>
        <v>-2422256</v>
      </c>
    </row>
    <row r="37" spans="1:5" x14ac:dyDescent="0.35">
      <c r="A37">
        <v>36</v>
      </c>
      <c r="B37" t="s">
        <v>148</v>
      </c>
      <c r="C37" s="109">
        <v>2422256</v>
      </c>
      <c r="E37" s="109">
        <f t="shared" si="0"/>
        <v>-2422256</v>
      </c>
    </row>
  </sheetData>
  <mergeCells count="1">
    <mergeCell ref="J2:J6"/>
  </mergeCells>
  <phoneticPr fontId="1" type="noConversion"/>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8D781-9946-442D-BF72-4C69CDE5346A}">
  <dimension ref="A1:J5"/>
  <sheetViews>
    <sheetView workbookViewId="0">
      <selection activeCell="D1" sqref="D1"/>
    </sheetView>
  </sheetViews>
  <sheetFormatPr baseColWidth="10" defaultColWidth="8.7265625" defaultRowHeight="14.5" x14ac:dyDescent="0.35"/>
  <cols>
    <col min="1" max="1" width="8" customWidth="1"/>
    <col min="2" max="2" width="20" customWidth="1"/>
    <col min="3" max="3" width="18" customWidth="1"/>
    <col min="4" max="4" width="17.1796875" customWidth="1"/>
    <col min="5" max="5" width="10" customWidth="1"/>
    <col min="6" max="6" width="25" customWidth="1"/>
    <col min="7" max="7" width="20" customWidth="1"/>
    <col min="8" max="9" width="18" customWidth="1"/>
    <col min="10" max="10" width="30" customWidth="1"/>
  </cols>
  <sheetData>
    <row r="1" spans="1:10" x14ac:dyDescent="0.35">
      <c r="A1" s="110" t="s">
        <v>106</v>
      </c>
      <c r="B1" s="110" t="s">
        <v>177</v>
      </c>
      <c r="C1" s="110" t="s">
        <v>184</v>
      </c>
      <c r="D1" s="110" t="s">
        <v>185</v>
      </c>
      <c r="E1" s="110" t="s">
        <v>186</v>
      </c>
      <c r="F1" s="110" t="s">
        <v>187</v>
      </c>
      <c r="G1" s="110" t="s">
        <v>188</v>
      </c>
      <c r="H1" s="110" t="s">
        <v>189</v>
      </c>
      <c r="I1" s="110" t="s">
        <v>190</v>
      </c>
      <c r="J1" s="110" t="s">
        <v>4</v>
      </c>
    </row>
    <row r="2" spans="1:10" x14ac:dyDescent="0.35">
      <c r="C2" t="s">
        <v>191</v>
      </c>
    </row>
    <row r="3" spans="1:10" x14ac:dyDescent="0.35">
      <c r="C3" t="s">
        <v>192</v>
      </c>
    </row>
    <row r="4" spans="1:10" x14ac:dyDescent="0.35">
      <c r="C4" t="s">
        <v>192</v>
      </c>
    </row>
    <row r="5" spans="1:10" x14ac:dyDescent="0.35">
      <c r="C5" t="s">
        <v>193</v>
      </c>
    </row>
  </sheetData>
  <dataValidations count="1">
    <dataValidation type="list" allowBlank="1" sqref="I2:I500" xr:uid="{930C0BD3-67F4-47F4-A494-5C4F47E5FC2E}">
      <formula1>"Bon,Moyen,En panne"</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5980-F1CF-41E5-AA17-32C6F2974063}">
  <dimension ref="A1:I500"/>
  <sheetViews>
    <sheetView tabSelected="1" workbookViewId="0">
      <selection activeCell="B1" sqref="B1"/>
    </sheetView>
  </sheetViews>
  <sheetFormatPr baseColWidth="10" defaultColWidth="8.7265625" defaultRowHeight="14.5" x14ac:dyDescent="0.35"/>
  <cols>
    <col min="1" max="2" width="25" customWidth="1"/>
    <col min="3" max="4" width="18" customWidth="1"/>
    <col min="5" max="6" width="22" customWidth="1"/>
    <col min="7" max="8" width="20" customWidth="1"/>
    <col min="9" max="9" width="30" customWidth="1"/>
  </cols>
  <sheetData>
    <row r="1" spans="1:9" x14ac:dyDescent="0.35">
      <c r="A1" s="110" t="s">
        <v>178</v>
      </c>
      <c r="B1" s="110" t="s">
        <v>185</v>
      </c>
      <c r="C1" s="110" t="s">
        <v>179</v>
      </c>
      <c r="D1" s="110" t="s">
        <v>180</v>
      </c>
      <c r="E1" s="110" t="s">
        <v>195</v>
      </c>
      <c r="F1" s="110" t="s">
        <v>181</v>
      </c>
      <c r="G1" s="110" t="s">
        <v>182</v>
      </c>
      <c r="H1" s="110" t="s">
        <v>183</v>
      </c>
      <c r="I1" s="110" t="s">
        <v>4</v>
      </c>
    </row>
    <row r="2" spans="1:9" x14ac:dyDescent="0.35">
      <c r="A2" t="s">
        <v>194</v>
      </c>
      <c r="B2" t="s">
        <v>201</v>
      </c>
      <c r="C2" s="118">
        <v>46143</v>
      </c>
      <c r="D2" s="118">
        <v>46174</v>
      </c>
      <c r="E2" s="119">
        <v>25000</v>
      </c>
      <c r="F2" s="119">
        <v>25000</v>
      </c>
      <c r="G2">
        <f t="shared" ref="G2:G65" si="0">E2-F2</f>
        <v>0</v>
      </c>
      <c r="H2" t="s">
        <v>196</v>
      </c>
    </row>
    <row r="3" spans="1:9" x14ac:dyDescent="0.35">
      <c r="A3" t="s">
        <v>194</v>
      </c>
      <c r="B3" t="s">
        <v>198</v>
      </c>
      <c r="C3" s="118">
        <v>46178</v>
      </c>
      <c r="D3" s="118">
        <v>46542</v>
      </c>
      <c r="E3">
        <v>10000</v>
      </c>
      <c r="F3">
        <v>10000</v>
      </c>
      <c r="G3">
        <f t="shared" si="0"/>
        <v>0</v>
      </c>
      <c r="H3" t="s">
        <v>196</v>
      </c>
    </row>
    <row r="4" spans="1:9" x14ac:dyDescent="0.35">
      <c r="A4" t="s">
        <v>194</v>
      </c>
      <c r="B4" t="s">
        <v>197</v>
      </c>
      <c r="C4" s="118">
        <v>46182</v>
      </c>
      <c r="D4" s="118">
        <v>46211</v>
      </c>
      <c r="E4">
        <v>18000</v>
      </c>
      <c r="F4">
        <v>18000</v>
      </c>
      <c r="G4">
        <f t="shared" si="0"/>
        <v>0</v>
      </c>
      <c r="H4" t="s">
        <v>196</v>
      </c>
    </row>
    <row r="5" spans="1:9" x14ac:dyDescent="0.35">
      <c r="A5" t="s">
        <v>194</v>
      </c>
      <c r="B5" t="s">
        <v>199</v>
      </c>
      <c r="C5" s="118">
        <v>46182</v>
      </c>
      <c r="D5" s="118">
        <v>46211</v>
      </c>
      <c r="E5">
        <v>50000</v>
      </c>
      <c r="F5">
        <v>50000</v>
      </c>
      <c r="G5">
        <f t="shared" si="0"/>
        <v>0</v>
      </c>
      <c r="H5" t="s">
        <v>196</v>
      </c>
    </row>
    <row r="6" spans="1:9" x14ac:dyDescent="0.35">
      <c r="A6" t="s">
        <v>194</v>
      </c>
      <c r="B6" t="s">
        <v>200</v>
      </c>
      <c r="C6" s="118">
        <v>46183</v>
      </c>
      <c r="D6" s="118">
        <v>46211</v>
      </c>
      <c r="E6">
        <v>2000</v>
      </c>
      <c r="F6">
        <v>2000</v>
      </c>
      <c r="G6">
        <f t="shared" si="0"/>
        <v>0</v>
      </c>
      <c r="H6" t="s">
        <v>196</v>
      </c>
    </row>
    <row r="7" spans="1:9" x14ac:dyDescent="0.35">
      <c r="A7" t="s">
        <v>194</v>
      </c>
      <c r="B7" t="s">
        <v>202</v>
      </c>
      <c r="G7">
        <f t="shared" si="0"/>
        <v>0</v>
      </c>
    </row>
    <row r="8" spans="1:9" x14ac:dyDescent="0.35">
      <c r="G8">
        <f t="shared" si="0"/>
        <v>0</v>
      </c>
    </row>
    <row r="9" spans="1:9" x14ac:dyDescent="0.35">
      <c r="G9">
        <f t="shared" si="0"/>
        <v>0</v>
      </c>
    </row>
    <row r="10" spans="1:9" x14ac:dyDescent="0.35">
      <c r="G10">
        <f t="shared" si="0"/>
        <v>0</v>
      </c>
    </row>
    <row r="11" spans="1:9" x14ac:dyDescent="0.35">
      <c r="G11">
        <f t="shared" si="0"/>
        <v>0</v>
      </c>
    </row>
    <row r="12" spans="1:9" x14ac:dyDescent="0.35">
      <c r="G12">
        <f>E12-F12</f>
        <v>0</v>
      </c>
    </row>
    <row r="13" spans="1:9" x14ac:dyDescent="0.35">
      <c r="G13">
        <f t="shared" si="0"/>
        <v>0</v>
      </c>
    </row>
    <row r="14" spans="1:9" x14ac:dyDescent="0.35">
      <c r="G14">
        <f t="shared" si="0"/>
        <v>0</v>
      </c>
    </row>
    <row r="15" spans="1:9" x14ac:dyDescent="0.35">
      <c r="G15">
        <f t="shared" si="0"/>
        <v>0</v>
      </c>
    </row>
    <row r="16" spans="1:9" x14ac:dyDescent="0.35">
      <c r="G16">
        <f t="shared" si="0"/>
        <v>0</v>
      </c>
    </row>
    <row r="17" spans="7:7" x14ac:dyDescent="0.35">
      <c r="G17">
        <f t="shared" si="0"/>
        <v>0</v>
      </c>
    </row>
    <row r="18" spans="7:7" x14ac:dyDescent="0.35">
      <c r="G18">
        <f t="shared" si="0"/>
        <v>0</v>
      </c>
    </row>
    <row r="19" spans="7:7" x14ac:dyDescent="0.35">
      <c r="G19">
        <f t="shared" si="0"/>
        <v>0</v>
      </c>
    </row>
    <row r="20" spans="7:7" x14ac:dyDescent="0.35">
      <c r="G20">
        <f t="shared" si="0"/>
        <v>0</v>
      </c>
    </row>
    <row r="21" spans="7:7" x14ac:dyDescent="0.35">
      <c r="G21">
        <f t="shared" si="0"/>
        <v>0</v>
      </c>
    </row>
    <row r="22" spans="7:7" x14ac:dyDescent="0.35">
      <c r="G22">
        <f t="shared" si="0"/>
        <v>0</v>
      </c>
    </row>
    <row r="23" spans="7:7" x14ac:dyDescent="0.35">
      <c r="G23">
        <f t="shared" si="0"/>
        <v>0</v>
      </c>
    </row>
    <row r="24" spans="7:7" x14ac:dyDescent="0.35">
      <c r="G24">
        <f t="shared" si="0"/>
        <v>0</v>
      </c>
    </row>
    <row r="25" spans="7:7" x14ac:dyDescent="0.35">
      <c r="G25">
        <f t="shared" si="0"/>
        <v>0</v>
      </c>
    </row>
    <row r="26" spans="7:7" x14ac:dyDescent="0.35">
      <c r="G26">
        <f t="shared" si="0"/>
        <v>0</v>
      </c>
    </row>
    <row r="27" spans="7:7" x14ac:dyDescent="0.35">
      <c r="G27">
        <f t="shared" si="0"/>
        <v>0</v>
      </c>
    </row>
    <row r="28" spans="7:7" x14ac:dyDescent="0.35">
      <c r="G28">
        <f t="shared" si="0"/>
        <v>0</v>
      </c>
    </row>
    <row r="29" spans="7:7" x14ac:dyDescent="0.35">
      <c r="G29">
        <f t="shared" si="0"/>
        <v>0</v>
      </c>
    </row>
    <row r="30" spans="7:7" x14ac:dyDescent="0.35">
      <c r="G30">
        <f t="shared" si="0"/>
        <v>0</v>
      </c>
    </row>
    <row r="31" spans="7:7" x14ac:dyDescent="0.35">
      <c r="G31">
        <f t="shared" si="0"/>
        <v>0</v>
      </c>
    </row>
    <row r="32" spans="7:7" x14ac:dyDescent="0.35">
      <c r="G32">
        <f t="shared" si="0"/>
        <v>0</v>
      </c>
    </row>
    <row r="33" spans="7:7" x14ac:dyDescent="0.35">
      <c r="G33">
        <f t="shared" si="0"/>
        <v>0</v>
      </c>
    </row>
    <row r="34" spans="7:7" x14ac:dyDescent="0.35">
      <c r="G34">
        <f t="shared" si="0"/>
        <v>0</v>
      </c>
    </row>
    <row r="35" spans="7:7" x14ac:dyDescent="0.35">
      <c r="G35">
        <f t="shared" si="0"/>
        <v>0</v>
      </c>
    </row>
    <row r="36" spans="7:7" x14ac:dyDescent="0.35">
      <c r="G36">
        <f t="shared" si="0"/>
        <v>0</v>
      </c>
    </row>
    <row r="37" spans="7:7" x14ac:dyDescent="0.35">
      <c r="G37">
        <f t="shared" si="0"/>
        <v>0</v>
      </c>
    </row>
    <row r="38" spans="7:7" x14ac:dyDescent="0.35">
      <c r="G38">
        <f t="shared" si="0"/>
        <v>0</v>
      </c>
    </row>
    <row r="39" spans="7:7" x14ac:dyDescent="0.35">
      <c r="G39">
        <f t="shared" si="0"/>
        <v>0</v>
      </c>
    </row>
    <row r="40" spans="7:7" x14ac:dyDescent="0.35">
      <c r="G40">
        <f t="shared" si="0"/>
        <v>0</v>
      </c>
    </row>
    <row r="41" spans="7:7" x14ac:dyDescent="0.35">
      <c r="G41">
        <f t="shared" si="0"/>
        <v>0</v>
      </c>
    </row>
    <row r="42" spans="7:7" x14ac:dyDescent="0.35">
      <c r="G42">
        <f t="shared" si="0"/>
        <v>0</v>
      </c>
    </row>
    <row r="43" spans="7:7" x14ac:dyDescent="0.35">
      <c r="G43">
        <f t="shared" si="0"/>
        <v>0</v>
      </c>
    </row>
    <row r="44" spans="7:7" x14ac:dyDescent="0.35">
      <c r="G44">
        <f t="shared" si="0"/>
        <v>0</v>
      </c>
    </row>
    <row r="45" spans="7:7" x14ac:dyDescent="0.35">
      <c r="G45">
        <f t="shared" si="0"/>
        <v>0</v>
      </c>
    </row>
    <row r="46" spans="7:7" x14ac:dyDescent="0.35">
      <c r="G46">
        <f t="shared" si="0"/>
        <v>0</v>
      </c>
    </row>
    <row r="47" spans="7:7" x14ac:dyDescent="0.35">
      <c r="G47">
        <f t="shared" si="0"/>
        <v>0</v>
      </c>
    </row>
    <row r="48" spans="7:7" x14ac:dyDescent="0.35">
      <c r="G48">
        <f t="shared" si="0"/>
        <v>0</v>
      </c>
    </row>
    <row r="49" spans="7:7" x14ac:dyDescent="0.35">
      <c r="G49">
        <f t="shared" si="0"/>
        <v>0</v>
      </c>
    </row>
    <row r="50" spans="7:7" x14ac:dyDescent="0.35">
      <c r="G50">
        <f t="shared" si="0"/>
        <v>0</v>
      </c>
    </row>
    <row r="51" spans="7:7" x14ac:dyDescent="0.35">
      <c r="G51">
        <f t="shared" si="0"/>
        <v>0</v>
      </c>
    </row>
    <row r="52" spans="7:7" x14ac:dyDescent="0.35">
      <c r="G52">
        <f t="shared" si="0"/>
        <v>0</v>
      </c>
    </row>
    <row r="53" spans="7:7" x14ac:dyDescent="0.35">
      <c r="G53">
        <f t="shared" si="0"/>
        <v>0</v>
      </c>
    </row>
    <row r="54" spans="7:7" x14ac:dyDescent="0.35">
      <c r="G54">
        <f t="shared" si="0"/>
        <v>0</v>
      </c>
    </row>
    <row r="55" spans="7:7" x14ac:dyDescent="0.35">
      <c r="G55">
        <f t="shared" si="0"/>
        <v>0</v>
      </c>
    </row>
    <row r="56" spans="7:7" x14ac:dyDescent="0.35">
      <c r="G56">
        <f t="shared" si="0"/>
        <v>0</v>
      </c>
    </row>
    <row r="57" spans="7:7" x14ac:dyDescent="0.35">
      <c r="G57">
        <f t="shared" si="0"/>
        <v>0</v>
      </c>
    </row>
    <row r="58" spans="7:7" x14ac:dyDescent="0.35">
      <c r="G58">
        <f t="shared" si="0"/>
        <v>0</v>
      </c>
    </row>
    <row r="59" spans="7:7" x14ac:dyDescent="0.35">
      <c r="G59">
        <f t="shared" si="0"/>
        <v>0</v>
      </c>
    </row>
    <row r="60" spans="7:7" x14ac:dyDescent="0.35">
      <c r="G60">
        <f t="shared" si="0"/>
        <v>0</v>
      </c>
    </row>
    <row r="61" spans="7:7" x14ac:dyDescent="0.35">
      <c r="G61">
        <f t="shared" si="0"/>
        <v>0</v>
      </c>
    </row>
    <row r="62" spans="7:7" x14ac:dyDescent="0.35">
      <c r="G62">
        <f t="shared" si="0"/>
        <v>0</v>
      </c>
    </row>
    <row r="63" spans="7:7" x14ac:dyDescent="0.35">
      <c r="G63">
        <f t="shared" si="0"/>
        <v>0</v>
      </c>
    </row>
    <row r="64" spans="7:7" x14ac:dyDescent="0.35">
      <c r="G64">
        <f t="shared" si="0"/>
        <v>0</v>
      </c>
    </row>
    <row r="65" spans="7:7" x14ac:dyDescent="0.35">
      <c r="G65">
        <f t="shared" si="0"/>
        <v>0</v>
      </c>
    </row>
    <row r="66" spans="7:7" x14ac:dyDescent="0.35">
      <c r="G66">
        <f t="shared" ref="G66:G129" si="1">E66-F66</f>
        <v>0</v>
      </c>
    </row>
    <row r="67" spans="7:7" x14ac:dyDescent="0.35">
      <c r="G67">
        <f t="shared" si="1"/>
        <v>0</v>
      </c>
    </row>
    <row r="68" spans="7:7" x14ac:dyDescent="0.35">
      <c r="G68">
        <f t="shared" si="1"/>
        <v>0</v>
      </c>
    </row>
    <row r="69" spans="7:7" x14ac:dyDescent="0.35">
      <c r="G69">
        <f t="shared" si="1"/>
        <v>0</v>
      </c>
    </row>
    <row r="70" spans="7:7" x14ac:dyDescent="0.35">
      <c r="G70">
        <f t="shared" si="1"/>
        <v>0</v>
      </c>
    </row>
    <row r="71" spans="7:7" x14ac:dyDescent="0.35">
      <c r="G71">
        <f t="shared" si="1"/>
        <v>0</v>
      </c>
    </row>
    <row r="72" spans="7:7" x14ac:dyDescent="0.35">
      <c r="G72">
        <f t="shared" si="1"/>
        <v>0</v>
      </c>
    </row>
    <row r="73" spans="7:7" x14ac:dyDescent="0.35">
      <c r="G73">
        <f t="shared" si="1"/>
        <v>0</v>
      </c>
    </row>
    <row r="74" spans="7:7" x14ac:dyDescent="0.35">
      <c r="G74">
        <f t="shared" si="1"/>
        <v>0</v>
      </c>
    </row>
    <row r="75" spans="7:7" x14ac:dyDescent="0.35">
      <c r="G75">
        <f t="shared" si="1"/>
        <v>0</v>
      </c>
    </row>
    <row r="76" spans="7:7" x14ac:dyDescent="0.35">
      <c r="G76">
        <f t="shared" si="1"/>
        <v>0</v>
      </c>
    </row>
    <row r="77" spans="7:7" x14ac:dyDescent="0.35">
      <c r="G77">
        <f t="shared" si="1"/>
        <v>0</v>
      </c>
    </row>
    <row r="78" spans="7:7" x14ac:dyDescent="0.35">
      <c r="G78">
        <f t="shared" si="1"/>
        <v>0</v>
      </c>
    </row>
    <row r="79" spans="7:7" x14ac:dyDescent="0.35">
      <c r="G79">
        <f t="shared" si="1"/>
        <v>0</v>
      </c>
    </row>
    <row r="80" spans="7:7" x14ac:dyDescent="0.35">
      <c r="G80">
        <f t="shared" si="1"/>
        <v>0</v>
      </c>
    </row>
    <row r="81" spans="7:7" x14ac:dyDescent="0.35">
      <c r="G81">
        <f t="shared" si="1"/>
        <v>0</v>
      </c>
    </row>
    <row r="82" spans="7:7" x14ac:dyDescent="0.35">
      <c r="G82">
        <f t="shared" si="1"/>
        <v>0</v>
      </c>
    </row>
    <row r="83" spans="7:7" x14ac:dyDescent="0.35">
      <c r="G83">
        <f t="shared" si="1"/>
        <v>0</v>
      </c>
    </row>
    <row r="84" spans="7:7" x14ac:dyDescent="0.35">
      <c r="G84">
        <f t="shared" si="1"/>
        <v>0</v>
      </c>
    </row>
    <row r="85" spans="7:7" x14ac:dyDescent="0.35">
      <c r="G85">
        <f t="shared" si="1"/>
        <v>0</v>
      </c>
    </row>
    <row r="86" spans="7:7" x14ac:dyDescent="0.35">
      <c r="G86">
        <f t="shared" si="1"/>
        <v>0</v>
      </c>
    </row>
    <row r="87" spans="7:7" x14ac:dyDescent="0.35">
      <c r="G87">
        <f t="shared" si="1"/>
        <v>0</v>
      </c>
    </row>
    <row r="88" spans="7:7" x14ac:dyDescent="0.35">
      <c r="G88">
        <f t="shared" si="1"/>
        <v>0</v>
      </c>
    </row>
    <row r="89" spans="7:7" x14ac:dyDescent="0.35">
      <c r="G89">
        <f t="shared" si="1"/>
        <v>0</v>
      </c>
    </row>
    <row r="90" spans="7:7" x14ac:dyDescent="0.35">
      <c r="G90">
        <f t="shared" si="1"/>
        <v>0</v>
      </c>
    </row>
    <row r="91" spans="7:7" x14ac:dyDescent="0.35">
      <c r="G91">
        <f t="shared" si="1"/>
        <v>0</v>
      </c>
    </row>
    <row r="92" spans="7:7" x14ac:dyDescent="0.35">
      <c r="G92">
        <f t="shared" si="1"/>
        <v>0</v>
      </c>
    </row>
    <row r="93" spans="7:7" x14ac:dyDescent="0.35">
      <c r="G93">
        <f t="shared" si="1"/>
        <v>0</v>
      </c>
    </row>
    <row r="94" spans="7:7" x14ac:dyDescent="0.35">
      <c r="G94">
        <f t="shared" si="1"/>
        <v>0</v>
      </c>
    </row>
    <row r="95" spans="7:7" x14ac:dyDescent="0.35">
      <c r="G95">
        <f t="shared" si="1"/>
        <v>0</v>
      </c>
    </row>
    <row r="96" spans="7:7" x14ac:dyDescent="0.35">
      <c r="G96">
        <f t="shared" si="1"/>
        <v>0</v>
      </c>
    </row>
    <row r="97" spans="7:7" x14ac:dyDescent="0.35">
      <c r="G97">
        <f t="shared" si="1"/>
        <v>0</v>
      </c>
    </row>
    <row r="98" spans="7:7" x14ac:dyDescent="0.35">
      <c r="G98">
        <f t="shared" si="1"/>
        <v>0</v>
      </c>
    </row>
    <row r="99" spans="7:7" x14ac:dyDescent="0.35">
      <c r="G99">
        <f t="shared" si="1"/>
        <v>0</v>
      </c>
    </row>
    <row r="100" spans="7:7" x14ac:dyDescent="0.35">
      <c r="G100">
        <f t="shared" si="1"/>
        <v>0</v>
      </c>
    </row>
    <row r="101" spans="7:7" x14ac:dyDescent="0.35">
      <c r="G101">
        <f t="shared" si="1"/>
        <v>0</v>
      </c>
    </row>
    <row r="102" spans="7:7" x14ac:dyDescent="0.35">
      <c r="G102">
        <f t="shared" si="1"/>
        <v>0</v>
      </c>
    </row>
    <row r="103" spans="7:7" x14ac:dyDescent="0.35">
      <c r="G103">
        <f t="shared" si="1"/>
        <v>0</v>
      </c>
    </row>
    <row r="104" spans="7:7" x14ac:dyDescent="0.35">
      <c r="G104">
        <f t="shared" si="1"/>
        <v>0</v>
      </c>
    </row>
    <row r="105" spans="7:7" x14ac:dyDescent="0.35">
      <c r="G105">
        <f t="shared" si="1"/>
        <v>0</v>
      </c>
    </row>
    <row r="106" spans="7:7" x14ac:dyDescent="0.35">
      <c r="G106">
        <f t="shared" si="1"/>
        <v>0</v>
      </c>
    </row>
    <row r="107" spans="7:7" x14ac:dyDescent="0.35">
      <c r="G107">
        <f t="shared" si="1"/>
        <v>0</v>
      </c>
    </row>
    <row r="108" spans="7:7" x14ac:dyDescent="0.35">
      <c r="G108">
        <f t="shared" si="1"/>
        <v>0</v>
      </c>
    </row>
    <row r="109" spans="7:7" x14ac:dyDescent="0.35">
      <c r="G109">
        <f t="shared" si="1"/>
        <v>0</v>
      </c>
    </row>
    <row r="110" spans="7:7" x14ac:dyDescent="0.35">
      <c r="G110">
        <f t="shared" si="1"/>
        <v>0</v>
      </c>
    </row>
    <row r="111" spans="7:7" x14ac:dyDescent="0.35">
      <c r="G111">
        <f t="shared" si="1"/>
        <v>0</v>
      </c>
    </row>
    <row r="112" spans="7:7" x14ac:dyDescent="0.35">
      <c r="G112">
        <f t="shared" si="1"/>
        <v>0</v>
      </c>
    </row>
    <row r="113" spans="7:7" x14ac:dyDescent="0.35">
      <c r="G113">
        <f t="shared" si="1"/>
        <v>0</v>
      </c>
    </row>
    <row r="114" spans="7:7" x14ac:dyDescent="0.35">
      <c r="G114">
        <f t="shared" si="1"/>
        <v>0</v>
      </c>
    </row>
    <row r="115" spans="7:7" x14ac:dyDescent="0.35">
      <c r="G115">
        <f t="shared" si="1"/>
        <v>0</v>
      </c>
    </row>
    <row r="116" spans="7:7" x14ac:dyDescent="0.35">
      <c r="G116">
        <f t="shared" si="1"/>
        <v>0</v>
      </c>
    </row>
    <row r="117" spans="7:7" x14ac:dyDescent="0.35">
      <c r="G117">
        <f t="shared" si="1"/>
        <v>0</v>
      </c>
    </row>
    <row r="118" spans="7:7" x14ac:dyDescent="0.35">
      <c r="G118">
        <f t="shared" si="1"/>
        <v>0</v>
      </c>
    </row>
    <row r="119" spans="7:7" x14ac:dyDescent="0.35">
      <c r="G119">
        <f t="shared" si="1"/>
        <v>0</v>
      </c>
    </row>
    <row r="120" spans="7:7" x14ac:dyDescent="0.35">
      <c r="G120">
        <f t="shared" si="1"/>
        <v>0</v>
      </c>
    </row>
    <row r="121" spans="7:7" x14ac:dyDescent="0.35">
      <c r="G121">
        <f t="shared" si="1"/>
        <v>0</v>
      </c>
    </row>
    <row r="122" spans="7:7" x14ac:dyDescent="0.35">
      <c r="G122">
        <f t="shared" si="1"/>
        <v>0</v>
      </c>
    </row>
    <row r="123" spans="7:7" x14ac:dyDescent="0.35">
      <c r="G123">
        <f t="shared" si="1"/>
        <v>0</v>
      </c>
    </row>
    <row r="124" spans="7:7" x14ac:dyDescent="0.35">
      <c r="G124">
        <f t="shared" si="1"/>
        <v>0</v>
      </c>
    </row>
    <row r="125" spans="7:7" x14ac:dyDescent="0.35">
      <c r="G125">
        <f t="shared" si="1"/>
        <v>0</v>
      </c>
    </row>
    <row r="126" spans="7:7" x14ac:dyDescent="0.35">
      <c r="G126">
        <f t="shared" si="1"/>
        <v>0</v>
      </c>
    </row>
    <row r="127" spans="7:7" x14ac:dyDescent="0.35">
      <c r="G127">
        <f t="shared" si="1"/>
        <v>0</v>
      </c>
    </row>
    <row r="128" spans="7:7" x14ac:dyDescent="0.35">
      <c r="G128">
        <f t="shared" si="1"/>
        <v>0</v>
      </c>
    </row>
    <row r="129" spans="7:7" x14ac:dyDescent="0.35">
      <c r="G129">
        <f t="shared" si="1"/>
        <v>0</v>
      </c>
    </row>
    <row r="130" spans="7:7" x14ac:dyDescent="0.35">
      <c r="G130">
        <f t="shared" ref="G130:G193" si="2">E130-F130</f>
        <v>0</v>
      </c>
    </row>
    <row r="131" spans="7:7" x14ac:dyDescent="0.35">
      <c r="G131">
        <f t="shared" si="2"/>
        <v>0</v>
      </c>
    </row>
    <row r="132" spans="7:7" x14ac:dyDescent="0.35">
      <c r="G132">
        <f t="shared" si="2"/>
        <v>0</v>
      </c>
    </row>
    <row r="133" spans="7:7" x14ac:dyDescent="0.35">
      <c r="G133">
        <f t="shared" si="2"/>
        <v>0</v>
      </c>
    </row>
    <row r="134" spans="7:7" x14ac:dyDescent="0.35">
      <c r="G134">
        <f t="shared" si="2"/>
        <v>0</v>
      </c>
    </row>
    <row r="135" spans="7:7" x14ac:dyDescent="0.35">
      <c r="G135">
        <f t="shared" si="2"/>
        <v>0</v>
      </c>
    </row>
    <row r="136" spans="7:7" x14ac:dyDescent="0.35">
      <c r="G136">
        <f t="shared" si="2"/>
        <v>0</v>
      </c>
    </row>
    <row r="137" spans="7:7" x14ac:dyDescent="0.35">
      <c r="G137">
        <f t="shared" si="2"/>
        <v>0</v>
      </c>
    </row>
    <row r="138" spans="7:7" x14ac:dyDescent="0.35">
      <c r="G138">
        <f t="shared" si="2"/>
        <v>0</v>
      </c>
    </row>
    <row r="139" spans="7:7" x14ac:dyDescent="0.35">
      <c r="G139">
        <f t="shared" si="2"/>
        <v>0</v>
      </c>
    </row>
    <row r="140" spans="7:7" x14ac:dyDescent="0.35">
      <c r="G140">
        <f t="shared" si="2"/>
        <v>0</v>
      </c>
    </row>
    <row r="141" spans="7:7" x14ac:dyDescent="0.35">
      <c r="G141">
        <f t="shared" si="2"/>
        <v>0</v>
      </c>
    </row>
    <row r="142" spans="7:7" x14ac:dyDescent="0.35">
      <c r="G142">
        <f t="shared" si="2"/>
        <v>0</v>
      </c>
    </row>
    <row r="143" spans="7:7" x14ac:dyDescent="0.35">
      <c r="G143">
        <f t="shared" si="2"/>
        <v>0</v>
      </c>
    </row>
    <row r="144" spans="7:7" x14ac:dyDescent="0.35">
      <c r="G144">
        <f t="shared" si="2"/>
        <v>0</v>
      </c>
    </row>
    <row r="145" spans="7:7" x14ac:dyDescent="0.35">
      <c r="G145">
        <f t="shared" si="2"/>
        <v>0</v>
      </c>
    </row>
    <row r="146" spans="7:7" x14ac:dyDescent="0.35">
      <c r="G146">
        <f t="shared" si="2"/>
        <v>0</v>
      </c>
    </row>
    <row r="147" spans="7:7" x14ac:dyDescent="0.35">
      <c r="G147">
        <f t="shared" si="2"/>
        <v>0</v>
      </c>
    </row>
    <row r="148" spans="7:7" x14ac:dyDescent="0.35">
      <c r="G148">
        <f t="shared" si="2"/>
        <v>0</v>
      </c>
    </row>
    <row r="149" spans="7:7" x14ac:dyDescent="0.35">
      <c r="G149">
        <f t="shared" si="2"/>
        <v>0</v>
      </c>
    </row>
    <row r="150" spans="7:7" x14ac:dyDescent="0.35">
      <c r="G150">
        <f t="shared" si="2"/>
        <v>0</v>
      </c>
    </row>
    <row r="151" spans="7:7" x14ac:dyDescent="0.35">
      <c r="G151">
        <f t="shared" si="2"/>
        <v>0</v>
      </c>
    </row>
    <row r="152" spans="7:7" x14ac:dyDescent="0.35">
      <c r="G152">
        <f t="shared" si="2"/>
        <v>0</v>
      </c>
    </row>
    <row r="153" spans="7:7" x14ac:dyDescent="0.35">
      <c r="G153">
        <f t="shared" si="2"/>
        <v>0</v>
      </c>
    </row>
    <row r="154" spans="7:7" x14ac:dyDescent="0.35">
      <c r="G154">
        <f t="shared" si="2"/>
        <v>0</v>
      </c>
    </row>
    <row r="155" spans="7:7" x14ac:dyDescent="0.35">
      <c r="G155">
        <f t="shared" si="2"/>
        <v>0</v>
      </c>
    </row>
    <row r="156" spans="7:7" x14ac:dyDescent="0.35">
      <c r="G156">
        <f t="shared" si="2"/>
        <v>0</v>
      </c>
    </row>
    <row r="157" spans="7:7" x14ac:dyDescent="0.35">
      <c r="G157">
        <f t="shared" si="2"/>
        <v>0</v>
      </c>
    </row>
    <row r="158" spans="7:7" x14ac:dyDescent="0.35">
      <c r="G158">
        <f t="shared" si="2"/>
        <v>0</v>
      </c>
    </row>
    <row r="159" spans="7:7" x14ac:dyDescent="0.35">
      <c r="G159">
        <f t="shared" si="2"/>
        <v>0</v>
      </c>
    </row>
    <row r="160" spans="7:7" x14ac:dyDescent="0.35">
      <c r="G160">
        <f t="shared" si="2"/>
        <v>0</v>
      </c>
    </row>
    <row r="161" spans="7:7" x14ac:dyDescent="0.35">
      <c r="G161">
        <f t="shared" si="2"/>
        <v>0</v>
      </c>
    </row>
    <row r="162" spans="7:7" x14ac:dyDescent="0.35">
      <c r="G162">
        <f t="shared" si="2"/>
        <v>0</v>
      </c>
    </row>
    <row r="163" spans="7:7" x14ac:dyDescent="0.35">
      <c r="G163">
        <f t="shared" si="2"/>
        <v>0</v>
      </c>
    </row>
    <row r="164" spans="7:7" x14ac:dyDescent="0.35">
      <c r="G164">
        <f t="shared" si="2"/>
        <v>0</v>
      </c>
    </row>
    <row r="165" spans="7:7" x14ac:dyDescent="0.35">
      <c r="G165">
        <f t="shared" si="2"/>
        <v>0</v>
      </c>
    </row>
    <row r="166" spans="7:7" x14ac:dyDescent="0.35">
      <c r="G166">
        <f t="shared" si="2"/>
        <v>0</v>
      </c>
    </row>
    <row r="167" spans="7:7" x14ac:dyDescent="0.35">
      <c r="G167">
        <f t="shared" si="2"/>
        <v>0</v>
      </c>
    </row>
    <row r="168" spans="7:7" x14ac:dyDescent="0.35">
      <c r="G168">
        <f t="shared" si="2"/>
        <v>0</v>
      </c>
    </row>
    <row r="169" spans="7:7" x14ac:dyDescent="0.35">
      <c r="G169">
        <f t="shared" si="2"/>
        <v>0</v>
      </c>
    </row>
    <row r="170" spans="7:7" x14ac:dyDescent="0.35">
      <c r="G170">
        <f t="shared" si="2"/>
        <v>0</v>
      </c>
    </row>
    <row r="171" spans="7:7" x14ac:dyDescent="0.35">
      <c r="G171">
        <f t="shared" si="2"/>
        <v>0</v>
      </c>
    </row>
    <row r="172" spans="7:7" x14ac:dyDescent="0.35">
      <c r="G172">
        <f t="shared" si="2"/>
        <v>0</v>
      </c>
    </row>
    <row r="173" spans="7:7" x14ac:dyDescent="0.35">
      <c r="G173">
        <f t="shared" si="2"/>
        <v>0</v>
      </c>
    </row>
    <row r="174" spans="7:7" x14ac:dyDescent="0.35">
      <c r="G174">
        <f t="shared" si="2"/>
        <v>0</v>
      </c>
    </row>
    <row r="175" spans="7:7" x14ac:dyDescent="0.35">
      <c r="G175">
        <f t="shared" si="2"/>
        <v>0</v>
      </c>
    </row>
    <row r="176" spans="7:7" x14ac:dyDescent="0.35">
      <c r="G176">
        <f t="shared" si="2"/>
        <v>0</v>
      </c>
    </row>
    <row r="177" spans="7:7" x14ac:dyDescent="0.35">
      <c r="G177">
        <f t="shared" si="2"/>
        <v>0</v>
      </c>
    </row>
    <row r="178" spans="7:7" x14ac:dyDescent="0.35">
      <c r="G178">
        <f t="shared" si="2"/>
        <v>0</v>
      </c>
    </row>
    <row r="179" spans="7:7" x14ac:dyDescent="0.35">
      <c r="G179">
        <f t="shared" si="2"/>
        <v>0</v>
      </c>
    </row>
    <row r="180" spans="7:7" x14ac:dyDescent="0.35">
      <c r="G180">
        <f t="shared" si="2"/>
        <v>0</v>
      </c>
    </row>
    <row r="181" spans="7:7" x14ac:dyDescent="0.35">
      <c r="G181">
        <f t="shared" si="2"/>
        <v>0</v>
      </c>
    </row>
    <row r="182" spans="7:7" x14ac:dyDescent="0.35">
      <c r="G182">
        <f t="shared" si="2"/>
        <v>0</v>
      </c>
    </row>
    <row r="183" spans="7:7" x14ac:dyDescent="0.35">
      <c r="G183">
        <f t="shared" si="2"/>
        <v>0</v>
      </c>
    </row>
    <row r="184" spans="7:7" x14ac:dyDescent="0.35">
      <c r="G184">
        <f t="shared" si="2"/>
        <v>0</v>
      </c>
    </row>
    <row r="185" spans="7:7" x14ac:dyDescent="0.35">
      <c r="G185">
        <f t="shared" si="2"/>
        <v>0</v>
      </c>
    </row>
    <row r="186" spans="7:7" x14ac:dyDescent="0.35">
      <c r="G186">
        <f t="shared" si="2"/>
        <v>0</v>
      </c>
    </row>
    <row r="187" spans="7:7" x14ac:dyDescent="0.35">
      <c r="G187">
        <f t="shared" si="2"/>
        <v>0</v>
      </c>
    </row>
    <row r="188" spans="7:7" x14ac:dyDescent="0.35">
      <c r="G188">
        <f t="shared" si="2"/>
        <v>0</v>
      </c>
    </row>
    <row r="189" spans="7:7" x14ac:dyDescent="0.35">
      <c r="G189">
        <f t="shared" si="2"/>
        <v>0</v>
      </c>
    </row>
    <row r="190" spans="7:7" x14ac:dyDescent="0.35">
      <c r="G190">
        <f t="shared" si="2"/>
        <v>0</v>
      </c>
    </row>
    <row r="191" spans="7:7" x14ac:dyDescent="0.35">
      <c r="G191">
        <f t="shared" si="2"/>
        <v>0</v>
      </c>
    </row>
    <row r="192" spans="7:7" x14ac:dyDescent="0.35">
      <c r="G192">
        <f t="shared" si="2"/>
        <v>0</v>
      </c>
    </row>
    <row r="193" spans="7:7" x14ac:dyDescent="0.35">
      <c r="G193">
        <f t="shared" si="2"/>
        <v>0</v>
      </c>
    </row>
    <row r="194" spans="7:7" x14ac:dyDescent="0.35">
      <c r="G194">
        <f t="shared" ref="G194:G257" si="3">E194-F194</f>
        <v>0</v>
      </c>
    </row>
    <row r="195" spans="7:7" x14ac:dyDescent="0.35">
      <c r="G195">
        <f t="shared" si="3"/>
        <v>0</v>
      </c>
    </row>
    <row r="196" spans="7:7" x14ac:dyDescent="0.35">
      <c r="G196">
        <f t="shared" si="3"/>
        <v>0</v>
      </c>
    </row>
    <row r="197" spans="7:7" x14ac:dyDescent="0.35">
      <c r="G197">
        <f t="shared" si="3"/>
        <v>0</v>
      </c>
    </row>
    <row r="198" spans="7:7" x14ac:dyDescent="0.35">
      <c r="G198">
        <f t="shared" si="3"/>
        <v>0</v>
      </c>
    </row>
    <row r="199" spans="7:7" x14ac:dyDescent="0.35">
      <c r="G199">
        <f t="shared" si="3"/>
        <v>0</v>
      </c>
    </row>
    <row r="200" spans="7:7" x14ac:dyDescent="0.35">
      <c r="G200">
        <f t="shared" si="3"/>
        <v>0</v>
      </c>
    </row>
    <row r="201" spans="7:7" x14ac:dyDescent="0.35">
      <c r="G201">
        <f t="shared" si="3"/>
        <v>0</v>
      </c>
    </row>
    <row r="202" spans="7:7" x14ac:dyDescent="0.35">
      <c r="G202">
        <f t="shared" si="3"/>
        <v>0</v>
      </c>
    </row>
    <row r="203" spans="7:7" x14ac:dyDescent="0.35">
      <c r="G203">
        <f t="shared" si="3"/>
        <v>0</v>
      </c>
    </row>
    <row r="204" spans="7:7" x14ac:dyDescent="0.35">
      <c r="G204">
        <f t="shared" si="3"/>
        <v>0</v>
      </c>
    </row>
    <row r="205" spans="7:7" x14ac:dyDescent="0.35">
      <c r="G205">
        <f t="shared" si="3"/>
        <v>0</v>
      </c>
    </row>
    <row r="206" spans="7:7" x14ac:dyDescent="0.35">
      <c r="G206">
        <f t="shared" si="3"/>
        <v>0</v>
      </c>
    </row>
    <row r="207" spans="7:7" x14ac:dyDescent="0.35">
      <c r="G207">
        <f t="shared" si="3"/>
        <v>0</v>
      </c>
    </row>
    <row r="208" spans="7:7" x14ac:dyDescent="0.35">
      <c r="G208">
        <f t="shared" si="3"/>
        <v>0</v>
      </c>
    </row>
    <row r="209" spans="7:7" x14ac:dyDescent="0.35">
      <c r="G209">
        <f t="shared" si="3"/>
        <v>0</v>
      </c>
    </row>
    <row r="210" spans="7:7" x14ac:dyDescent="0.35">
      <c r="G210">
        <f t="shared" si="3"/>
        <v>0</v>
      </c>
    </row>
    <row r="211" spans="7:7" x14ac:dyDescent="0.35">
      <c r="G211">
        <f t="shared" si="3"/>
        <v>0</v>
      </c>
    </row>
    <row r="212" spans="7:7" x14ac:dyDescent="0.35">
      <c r="G212">
        <f t="shared" si="3"/>
        <v>0</v>
      </c>
    </row>
    <row r="213" spans="7:7" x14ac:dyDescent="0.35">
      <c r="G213">
        <f t="shared" si="3"/>
        <v>0</v>
      </c>
    </row>
    <row r="214" spans="7:7" x14ac:dyDescent="0.35">
      <c r="G214">
        <f t="shared" si="3"/>
        <v>0</v>
      </c>
    </row>
    <row r="215" spans="7:7" x14ac:dyDescent="0.35">
      <c r="G215">
        <f t="shared" si="3"/>
        <v>0</v>
      </c>
    </row>
    <row r="216" spans="7:7" x14ac:dyDescent="0.35">
      <c r="G216">
        <f t="shared" si="3"/>
        <v>0</v>
      </c>
    </row>
    <row r="217" spans="7:7" x14ac:dyDescent="0.35">
      <c r="G217">
        <f t="shared" si="3"/>
        <v>0</v>
      </c>
    </row>
    <row r="218" spans="7:7" x14ac:dyDescent="0.35">
      <c r="G218">
        <f t="shared" si="3"/>
        <v>0</v>
      </c>
    </row>
    <row r="219" spans="7:7" x14ac:dyDescent="0.35">
      <c r="G219">
        <f t="shared" si="3"/>
        <v>0</v>
      </c>
    </row>
    <row r="220" spans="7:7" x14ac:dyDescent="0.35">
      <c r="G220">
        <f t="shared" si="3"/>
        <v>0</v>
      </c>
    </row>
    <row r="221" spans="7:7" x14ac:dyDescent="0.35">
      <c r="G221">
        <f t="shared" si="3"/>
        <v>0</v>
      </c>
    </row>
    <row r="222" spans="7:7" x14ac:dyDescent="0.35">
      <c r="G222">
        <f t="shared" si="3"/>
        <v>0</v>
      </c>
    </row>
    <row r="223" spans="7:7" x14ac:dyDescent="0.35">
      <c r="G223">
        <f t="shared" si="3"/>
        <v>0</v>
      </c>
    </row>
    <row r="224" spans="7:7" x14ac:dyDescent="0.35">
      <c r="G224">
        <f t="shared" si="3"/>
        <v>0</v>
      </c>
    </row>
    <row r="225" spans="7:7" x14ac:dyDescent="0.35">
      <c r="G225">
        <f t="shared" si="3"/>
        <v>0</v>
      </c>
    </row>
    <row r="226" spans="7:7" x14ac:dyDescent="0.35">
      <c r="G226">
        <f t="shared" si="3"/>
        <v>0</v>
      </c>
    </row>
    <row r="227" spans="7:7" x14ac:dyDescent="0.35">
      <c r="G227">
        <f t="shared" si="3"/>
        <v>0</v>
      </c>
    </row>
    <row r="228" spans="7:7" x14ac:dyDescent="0.35">
      <c r="G228">
        <f t="shared" si="3"/>
        <v>0</v>
      </c>
    </row>
    <row r="229" spans="7:7" x14ac:dyDescent="0.35">
      <c r="G229">
        <f t="shared" si="3"/>
        <v>0</v>
      </c>
    </row>
    <row r="230" spans="7:7" x14ac:dyDescent="0.35">
      <c r="G230">
        <f t="shared" si="3"/>
        <v>0</v>
      </c>
    </row>
    <row r="231" spans="7:7" x14ac:dyDescent="0.35">
      <c r="G231">
        <f t="shared" si="3"/>
        <v>0</v>
      </c>
    </row>
    <row r="232" spans="7:7" x14ac:dyDescent="0.35">
      <c r="G232">
        <f t="shared" si="3"/>
        <v>0</v>
      </c>
    </row>
    <row r="233" spans="7:7" x14ac:dyDescent="0.35">
      <c r="G233">
        <f t="shared" si="3"/>
        <v>0</v>
      </c>
    </row>
    <row r="234" spans="7:7" x14ac:dyDescent="0.35">
      <c r="G234">
        <f t="shared" si="3"/>
        <v>0</v>
      </c>
    </row>
    <row r="235" spans="7:7" x14ac:dyDescent="0.35">
      <c r="G235">
        <f t="shared" si="3"/>
        <v>0</v>
      </c>
    </row>
    <row r="236" spans="7:7" x14ac:dyDescent="0.35">
      <c r="G236">
        <f t="shared" si="3"/>
        <v>0</v>
      </c>
    </row>
    <row r="237" spans="7:7" x14ac:dyDescent="0.35">
      <c r="G237">
        <f t="shared" si="3"/>
        <v>0</v>
      </c>
    </row>
    <row r="238" spans="7:7" x14ac:dyDescent="0.35">
      <c r="G238">
        <f t="shared" si="3"/>
        <v>0</v>
      </c>
    </row>
    <row r="239" spans="7:7" x14ac:dyDescent="0.35">
      <c r="G239">
        <f t="shared" si="3"/>
        <v>0</v>
      </c>
    </row>
    <row r="240" spans="7:7" x14ac:dyDescent="0.35">
      <c r="G240">
        <f t="shared" si="3"/>
        <v>0</v>
      </c>
    </row>
    <row r="241" spans="7:7" x14ac:dyDescent="0.35">
      <c r="G241">
        <f t="shared" si="3"/>
        <v>0</v>
      </c>
    </row>
    <row r="242" spans="7:7" x14ac:dyDescent="0.35">
      <c r="G242">
        <f t="shared" si="3"/>
        <v>0</v>
      </c>
    </row>
    <row r="243" spans="7:7" x14ac:dyDescent="0.35">
      <c r="G243">
        <f t="shared" si="3"/>
        <v>0</v>
      </c>
    </row>
    <row r="244" spans="7:7" x14ac:dyDescent="0.35">
      <c r="G244">
        <f t="shared" si="3"/>
        <v>0</v>
      </c>
    </row>
    <row r="245" spans="7:7" x14ac:dyDescent="0.35">
      <c r="G245">
        <f t="shared" si="3"/>
        <v>0</v>
      </c>
    </row>
    <row r="246" spans="7:7" x14ac:dyDescent="0.35">
      <c r="G246">
        <f t="shared" si="3"/>
        <v>0</v>
      </c>
    </row>
    <row r="247" spans="7:7" x14ac:dyDescent="0.35">
      <c r="G247">
        <f t="shared" si="3"/>
        <v>0</v>
      </c>
    </row>
    <row r="248" spans="7:7" x14ac:dyDescent="0.35">
      <c r="G248">
        <f t="shared" si="3"/>
        <v>0</v>
      </c>
    </row>
    <row r="249" spans="7:7" x14ac:dyDescent="0.35">
      <c r="G249">
        <f t="shared" si="3"/>
        <v>0</v>
      </c>
    </row>
    <row r="250" spans="7:7" x14ac:dyDescent="0.35">
      <c r="G250">
        <f t="shared" si="3"/>
        <v>0</v>
      </c>
    </row>
    <row r="251" spans="7:7" x14ac:dyDescent="0.35">
      <c r="G251">
        <f t="shared" si="3"/>
        <v>0</v>
      </c>
    </row>
    <row r="252" spans="7:7" x14ac:dyDescent="0.35">
      <c r="G252">
        <f t="shared" si="3"/>
        <v>0</v>
      </c>
    </row>
    <row r="253" spans="7:7" x14ac:dyDescent="0.35">
      <c r="G253">
        <f t="shared" si="3"/>
        <v>0</v>
      </c>
    </row>
    <row r="254" spans="7:7" x14ac:dyDescent="0.35">
      <c r="G254">
        <f t="shared" si="3"/>
        <v>0</v>
      </c>
    </row>
    <row r="255" spans="7:7" x14ac:dyDescent="0.35">
      <c r="G255">
        <f t="shared" si="3"/>
        <v>0</v>
      </c>
    </row>
    <row r="256" spans="7:7" x14ac:dyDescent="0.35">
      <c r="G256">
        <f t="shared" si="3"/>
        <v>0</v>
      </c>
    </row>
    <row r="257" spans="7:7" x14ac:dyDescent="0.35">
      <c r="G257">
        <f t="shared" si="3"/>
        <v>0</v>
      </c>
    </row>
    <row r="258" spans="7:7" x14ac:dyDescent="0.35">
      <c r="G258">
        <f t="shared" ref="G258:G321" si="4">E258-F258</f>
        <v>0</v>
      </c>
    </row>
    <row r="259" spans="7:7" x14ac:dyDescent="0.35">
      <c r="G259">
        <f t="shared" si="4"/>
        <v>0</v>
      </c>
    </row>
    <row r="260" spans="7:7" x14ac:dyDescent="0.35">
      <c r="G260">
        <f t="shared" si="4"/>
        <v>0</v>
      </c>
    </row>
    <row r="261" spans="7:7" x14ac:dyDescent="0.35">
      <c r="G261">
        <f t="shared" si="4"/>
        <v>0</v>
      </c>
    </row>
    <row r="262" spans="7:7" x14ac:dyDescent="0.35">
      <c r="G262">
        <f t="shared" si="4"/>
        <v>0</v>
      </c>
    </row>
    <row r="263" spans="7:7" x14ac:dyDescent="0.35">
      <c r="G263">
        <f t="shared" si="4"/>
        <v>0</v>
      </c>
    </row>
    <row r="264" spans="7:7" x14ac:dyDescent="0.35">
      <c r="G264">
        <f t="shared" si="4"/>
        <v>0</v>
      </c>
    </row>
    <row r="265" spans="7:7" x14ac:dyDescent="0.35">
      <c r="G265">
        <f t="shared" si="4"/>
        <v>0</v>
      </c>
    </row>
    <row r="266" spans="7:7" x14ac:dyDescent="0.35">
      <c r="G266">
        <f t="shared" si="4"/>
        <v>0</v>
      </c>
    </row>
    <row r="267" spans="7:7" x14ac:dyDescent="0.35">
      <c r="G267">
        <f t="shared" si="4"/>
        <v>0</v>
      </c>
    </row>
    <row r="268" spans="7:7" x14ac:dyDescent="0.35">
      <c r="G268">
        <f t="shared" si="4"/>
        <v>0</v>
      </c>
    </row>
    <row r="269" spans="7:7" x14ac:dyDescent="0.35">
      <c r="G269">
        <f t="shared" si="4"/>
        <v>0</v>
      </c>
    </row>
    <row r="270" spans="7:7" x14ac:dyDescent="0.35">
      <c r="G270">
        <f t="shared" si="4"/>
        <v>0</v>
      </c>
    </row>
    <row r="271" spans="7:7" x14ac:dyDescent="0.35">
      <c r="G271">
        <f t="shared" si="4"/>
        <v>0</v>
      </c>
    </row>
    <row r="272" spans="7:7" x14ac:dyDescent="0.35">
      <c r="G272">
        <f t="shared" si="4"/>
        <v>0</v>
      </c>
    </row>
    <row r="273" spans="7:7" x14ac:dyDescent="0.35">
      <c r="G273">
        <f t="shared" si="4"/>
        <v>0</v>
      </c>
    </row>
    <row r="274" spans="7:7" x14ac:dyDescent="0.35">
      <c r="G274">
        <f t="shared" si="4"/>
        <v>0</v>
      </c>
    </row>
    <row r="275" spans="7:7" x14ac:dyDescent="0.35">
      <c r="G275">
        <f t="shared" si="4"/>
        <v>0</v>
      </c>
    </row>
    <row r="276" spans="7:7" x14ac:dyDescent="0.35">
      <c r="G276">
        <f t="shared" si="4"/>
        <v>0</v>
      </c>
    </row>
    <row r="277" spans="7:7" x14ac:dyDescent="0.35">
      <c r="G277">
        <f t="shared" si="4"/>
        <v>0</v>
      </c>
    </row>
    <row r="278" spans="7:7" x14ac:dyDescent="0.35">
      <c r="G278">
        <f t="shared" si="4"/>
        <v>0</v>
      </c>
    </row>
    <row r="279" spans="7:7" x14ac:dyDescent="0.35">
      <c r="G279">
        <f t="shared" si="4"/>
        <v>0</v>
      </c>
    </row>
    <row r="280" spans="7:7" x14ac:dyDescent="0.35">
      <c r="G280">
        <f t="shared" si="4"/>
        <v>0</v>
      </c>
    </row>
    <row r="281" spans="7:7" x14ac:dyDescent="0.35">
      <c r="G281">
        <f t="shared" si="4"/>
        <v>0</v>
      </c>
    </row>
    <row r="282" spans="7:7" x14ac:dyDescent="0.35">
      <c r="G282">
        <f t="shared" si="4"/>
        <v>0</v>
      </c>
    </row>
    <row r="283" spans="7:7" x14ac:dyDescent="0.35">
      <c r="G283">
        <f t="shared" si="4"/>
        <v>0</v>
      </c>
    </row>
    <row r="284" spans="7:7" x14ac:dyDescent="0.35">
      <c r="G284">
        <f t="shared" si="4"/>
        <v>0</v>
      </c>
    </row>
    <row r="285" spans="7:7" x14ac:dyDescent="0.35">
      <c r="G285">
        <f t="shared" si="4"/>
        <v>0</v>
      </c>
    </row>
    <row r="286" spans="7:7" x14ac:dyDescent="0.35">
      <c r="G286">
        <f t="shared" si="4"/>
        <v>0</v>
      </c>
    </row>
    <row r="287" spans="7:7" x14ac:dyDescent="0.35">
      <c r="G287">
        <f t="shared" si="4"/>
        <v>0</v>
      </c>
    </row>
    <row r="288" spans="7:7" x14ac:dyDescent="0.35">
      <c r="G288">
        <f t="shared" si="4"/>
        <v>0</v>
      </c>
    </row>
    <row r="289" spans="7:7" x14ac:dyDescent="0.35">
      <c r="G289">
        <f t="shared" si="4"/>
        <v>0</v>
      </c>
    </row>
    <row r="290" spans="7:7" x14ac:dyDescent="0.35">
      <c r="G290">
        <f t="shared" si="4"/>
        <v>0</v>
      </c>
    </row>
    <row r="291" spans="7:7" x14ac:dyDescent="0.35">
      <c r="G291">
        <f t="shared" si="4"/>
        <v>0</v>
      </c>
    </row>
    <row r="292" spans="7:7" x14ac:dyDescent="0.35">
      <c r="G292">
        <f t="shared" si="4"/>
        <v>0</v>
      </c>
    </row>
    <row r="293" spans="7:7" x14ac:dyDescent="0.35">
      <c r="G293">
        <f t="shared" si="4"/>
        <v>0</v>
      </c>
    </row>
    <row r="294" spans="7:7" x14ac:dyDescent="0.35">
      <c r="G294">
        <f t="shared" si="4"/>
        <v>0</v>
      </c>
    </row>
    <row r="295" spans="7:7" x14ac:dyDescent="0.35">
      <c r="G295">
        <f t="shared" si="4"/>
        <v>0</v>
      </c>
    </row>
    <row r="296" spans="7:7" x14ac:dyDescent="0.35">
      <c r="G296">
        <f t="shared" si="4"/>
        <v>0</v>
      </c>
    </row>
    <row r="297" spans="7:7" x14ac:dyDescent="0.35">
      <c r="G297">
        <f t="shared" si="4"/>
        <v>0</v>
      </c>
    </row>
    <row r="298" spans="7:7" x14ac:dyDescent="0.35">
      <c r="G298">
        <f t="shared" si="4"/>
        <v>0</v>
      </c>
    </row>
    <row r="299" spans="7:7" x14ac:dyDescent="0.35">
      <c r="G299">
        <f t="shared" si="4"/>
        <v>0</v>
      </c>
    </row>
    <row r="300" spans="7:7" x14ac:dyDescent="0.35">
      <c r="G300">
        <f t="shared" si="4"/>
        <v>0</v>
      </c>
    </row>
    <row r="301" spans="7:7" x14ac:dyDescent="0.35">
      <c r="G301">
        <f t="shared" si="4"/>
        <v>0</v>
      </c>
    </row>
    <row r="302" spans="7:7" x14ac:dyDescent="0.35">
      <c r="G302">
        <f t="shared" si="4"/>
        <v>0</v>
      </c>
    </row>
    <row r="303" spans="7:7" x14ac:dyDescent="0.35">
      <c r="G303">
        <f t="shared" si="4"/>
        <v>0</v>
      </c>
    </row>
    <row r="304" spans="7:7" x14ac:dyDescent="0.35">
      <c r="G304">
        <f t="shared" si="4"/>
        <v>0</v>
      </c>
    </row>
    <row r="305" spans="7:7" x14ac:dyDescent="0.35">
      <c r="G305">
        <f t="shared" si="4"/>
        <v>0</v>
      </c>
    </row>
    <row r="306" spans="7:7" x14ac:dyDescent="0.35">
      <c r="G306">
        <f t="shared" si="4"/>
        <v>0</v>
      </c>
    </row>
    <row r="307" spans="7:7" x14ac:dyDescent="0.35">
      <c r="G307">
        <f t="shared" si="4"/>
        <v>0</v>
      </c>
    </row>
    <row r="308" spans="7:7" x14ac:dyDescent="0.35">
      <c r="G308">
        <f t="shared" si="4"/>
        <v>0</v>
      </c>
    </row>
    <row r="309" spans="7:7" x14ac:dyDescent="0.35">
      <c r="G309">
        <f t="shared" si="4"/>
        <v>0</v>
      </c>
    </row>
    <row r="310" spans="7:7" x14ac:dyDescent="0.35">
      <c r="G310">
        <f t="shared" si="4"/>
        <v>0</v>
      </c>
    </row>
    <row r="311" spans="7:7" x14ac:dyDescent="0.35">
      <c r="G311">
        <f t="shared" si="4"/>
        <v>0</v>
      </c>
    </row>
    <row r="312" spans="7:7" x14ac:dyDescent="0.35">
      <c r="G312">
        <f t="shared" si="4"/>
        <v>0</v>
      </c>
    </row>
    <row r="313" spans="7:7" x14ac:dyDescent="0.35">
      <c r="G313">
        <f t="shared" si="4"/>
        <v>0</v>
      </c>
    </row>
    <row r="314" spans="7:7" x14ac:dyDescent="0.35">
      <c r="G314">
        <f t="shared" si="4"/>
        <v>0</v>
      </c>
    </row>
    <row r="315" spans="7:7" x14ac:dyDescent="0.35">
      <c r="G315">
        <f t="shared" si="4"/>
        <v>0</v>
      </c>
    </row>
    <row r="316" spans="7:7" x14ac:dyDescent="0.35">
      <c r="G316">
        <f t="shared" si="4"/>
        <v>0</v>
      </c>
    </row>
    <row r="317" spans="7:7" x14ac:dyDescent="0.35">
      <c r="G317">
        <f t="shared" si="4"/>
        <v>0</v>
      </c>
    </row>
    <row r="318" spans="7:7" x14ac:dyDescent="0.35">
      <c r="G318">
        <f t="shared" si="4"/>
        <v>0</v>
      </c>
    </row>
    <row r="319" spans="7:7" x14ac:dyDescent="0.35">
      <c r="G319">
        <f t="shared" si="4"/>
        <v>0</v>
      </c>
    </row>
    <row r="320" spans="7:7" x14ac:dyDescent="0.35">
      <c r="G320">
        <f t="shared" si="4"/>
        <v>0</v>
      </c>
    </row>
    <row r="321" spans="7:7" x14ac:dyDescent="0.35">
      <c r="G321">
        <f t="shared" si="4"/>
        <v>0</v>
      </c>
    </row>
    <row r="322" spans="7:7" x14ac:dyDescent="0.35">
      <c r="G322">
        <f t="shared" ref="G322:G385" si="5">E322-F322</f>
        <v>0</v>
      </c>
    </row>
    <row r="323" spans="7:7" x14ac:dyDescent="0.35">
      <c r="G323">
        <f t="shared" si="5"/>
        <v>0</v>
      </c>
    </row>
    <row r="324" spans="7:7" x14ac:dyDescent="0.35">
      <c r="G324">
        <f t="shared" si="5"/>
        <v>0</v>
      </c>
    </row>
    <row r="325" spans="7:7" x14ac:dyDescent="0.35">
      <c r="G325">
        <f t="shared" si="5"/>
        <v>0</v>
      </c>
    </row>
    <row r="326" spans="7:7" x14ac:dyDescent="0.35">
      <c r="G326">
        <f t="shared" si="5"/>
        <v>0</v>
      </c>
    </row>
    <row r="327" spans="7:7" x14ac:dyDescent="0.35">
      <c r="G327">
        <f t="shared" si="5"/>
        <v>0</v>
      </c>
    </row>
    <row r="328" spans="7:7" x14ac:dyDescent="0.35">
      <c r="G328">
        <f t="shared" si="5"/>
        <v>0</v>
      </c>
    </row>
    <row r="329" spans="7:7" x14ac:dyDescent="0.35">
      <c r="G329">
        <f t="shared" si="5"/>
        <v>0</v>
      </c>
    </row>
    <row r="330" spans="7:7" x14ac:dyDescent="0.35">
      <c r="G330">
        <f t="shared" si="5"/>
        <v>0</v>
      </c>
    </row>
    <row r="331" spans="7:7" x14ac:dyDescent="0.35">
      <c r="G331">
        <f t="shared" si="5"/>
        <v>0</v>
      </c>
    </row>
    <row r="332" spans="7:7" x14ac:dyDescent="0.35">
      <c r="G332">
        <f t="shared" si="5"/>
        <v>0</v>
      </c>
    </row>
    <row r="333" spans="7:7" x14ac:dyDescent="0.35">
      <c r="G333">
        <f t="shared" si="5"/>
        <v>0</v>
      </c>
    </row>
    <row r="334" spans="7:7" x14ac:dyDescent="0.35">
      <c r="G334">
        <f t="shared" si="5"/>
        <v>0</v>
      </c>
    </row>
    <row r="335" spans="7:7" x14ac:dyDescent="0.35">
      <c r="G335">
        <f t="shared" si="5"/>
        <v>0</v>
      </c>
    </row>
    <row r="336" spans="7:7" x14ac:dyDescent="0.35">
      <c r="G336">
        <f t="shared" si="5"/>
        <v>0</v>
      </c>
    </row>
    <row r="337" spans="7:7" x14ac:dyDescent="0.35">
      <c r="G337">
        <f t="shared" si="5"/>
        <v>0</v>
      </c>
    </row>
    <row r="338" spans="7:7" x14ac:dyDescent="0.35">
      <c r="G338">
        <f t="shared" si="5"/>
        <v>0</v>
      </c>
    </row>
    <row r="339" spans="7:7" x14ac:dyDescent="0.35">
      <c r="G339">
        <f t="shared" si="5"/>
        <v>0</v>
      </c>
    </row>
    <row r="340" spans="7:7" x14ac:dyDescent="0.35">
      <c r="G340">
        <f t="shared" si="5"/>
        <v>0</v>
      </c>
    </row>
    <row r="341" spans="7:7" x14ac:dyDescent="0.35">
      <c r="G341">
        <f t="shared" si="5"/>
        <v>0</v>
      </c>
    </row>
    <row r="342" spans="7:7" x14ac:dyDescent="0.35">
      <c r="G342">
        <f t="shared" si="5"/>
        <v>0</v>
      </c>
    </row>
    <row r="343" spans="7:7" x14ac:dyDescent="0.35">
      <c r="G343">
        <f t="shared" si="5"/>
        <v>0</v>
      </c>
    </row>
    <row r="344" spans="7:7" x14ac:dyDescent="0.35">
      <c r="G344">
        <f t="shared" si="5"/>
        <v>0</v>
      </c>
    </row>
    <row r="345" spans="7:7" x14ac:dyDescent="0.35">
      <c r="G345">
        <f t="shared" si="5"/>
        <v>0</v>
      </c>
    </row>
    <row r="346" spans="7:7" x14ac:dyDescent="0.35">
      <c r="G346">
        <f t="shared" si="5"/>
        <v>0</v>
      </c>
    </row>
    <row r="347" spans="7:7" x14ac:dyDescent="0.35">
      <c r="G347">
        <f t="shared" si="5"/>
        <v>0</v>
      </c>
    </row>
    <row r="348" spans="7:7" x14ac:dyDescent="0.35">
      <c r="G348">
        <f t="shared" si="5"/>
        <v>0</v>
      </c>
    </row>
    <row r="349" spans="7:7" x14ac:dyDescent="0.35">
      <c r="G349">
        <f t="shared" si="5"/>
        <v>0</v>
      </c>
    </row>
    <row r="350" spans="7:7" x14ac:dyDescent="0.35">
      <c r="G350">
        <f t="shared" si="5"/>
        <v>0</v>
      </c>
    </row>
    <row r="351" spans="7:7" x14ac:dyDescent="0.35">
      <c r="G351">
        <f t="shared" si="5"/>
        <v>0</v>
      </c>
    </row>
    <row r="352" spans="7:7" x14ac:dyDescent="0.35">
      <c r="G352">
        <f t="shared" si="5"/>
        <v>0</v>
      </c>
    </row>
    <row r="353" spans="7:7" x14ac:dyDescent="0.35">
      <c r="G353">
        <f t="shared" si="5"/>
        <v>0</v>
      </c>
    </row>
    <row r="354" spans="7:7" x14ac:dyDescent="0.35">
      <c r="G354">
        <f t="shared" si="5"/>
        <v>0</v>
      </c>
    </row>
    <row r="355" spans="7:7" x14ac:dyDescent="0.35">
      <c r="G355">
        <f t="shared" si="5"/>
        <v>0</v>
      </c>
    </row>
    <row r="356" spans="7:7" x14ac:dyDescent="0.35">
      <c r="G356">
        <f t="shared" si="5"/>
        <v>0</v>
      </c>
    </row>
    <row r="357" spans="7:7" x14ac:dyDescent="0.35">
      <c r="G357">
        <f t="shared" si="5"/>
        <v>0</v>
      </c>
    </row>
    <row r="358" spans="7:7" x14ac:dyDescent="0.35">
      <c r="G358">
        <f t="shared" si="5"/>
        <v>0</v>
      </c>
    </row>
    <row r="359" spans="7:7" x14ac:dyDescent="0.35">
      <c r="G359">
        <f t="shared" si="5"/>
        <v>0</v>
      </c>
    </row>
    <row r="360" spans="7:7" x14ac:dyDescent="0.35">
      <c r="G360">
        <f t="shared" si="5"/>
        <v>0</v>
      </c>
    </row>
    <row r="361" spans="7:7" x14ac:dyDescent="0.35">
      <c r="G361">
        <f t="shared" si="5"/>
        <v>0</v>
      </c>
    </row>
    <row r="362" spans="7:7" x14ac:dyDescent="0.35">
      <c r="G362">
        <f t="shared" si="5"/>
        <v>0</v>
      </c>
    </row>
    <row r="363" spans="7:7" x14ac:dyDescent="0.35">
      <c r="G363">
        <f t="shared" si="5"/>
        <v>0</v>
      </c>
    </row>
    <row r="364" spans="7:7" x14ac:dyDescent="0.35">
      <c r="G364">
        <f t="shared" si="5"/>
        <v>0</v>
      </c>
    </row>
    <row r="365" spans="7:7" x14ac:dyDescent="0.35">
      <c r="G365">
        <f t="shared" si="5"/>
        <v>0</v>
      </c>
    </row>
    <row r="366" spans="7:7" x14ac:dyDescent="0.35">
      <c r="G366">
        <f t="shared" si="5"/>
        <v>0</v>
      </c>
    </row>
    <row r="367" spans="7:7" x14ac:dyDescent="0.35">
      <c r="G367">
        <f t="shared" si="5"/>
        <v>0</v>
      </c>
    </row>
    <row r="368" spans="7:7" x14ac:dyDescent="0.35">
      <c r="G368">
        <f t="shared" si="5"/>
        <v>0</v>
      </c>
    </row>
    <row r="369" spans="7:7" x14ac:dyDescent="0.35">
      <c r="G369">
        <f t="shared" si="5"/>
        <v>0</v>
      </c>
    </row>
    <row r="370" spans="7:7" x14ac:dyDescent="0.35">
      <c r="G370">
        <f t="shared" si="5"/>
        <v>0</v>
      </c>
    </row>
    <row r="371" spans="7:7" x14ac:dyDescent="0.35">
      <c r="G371">
        <f t="shared" si="5"/>
        <v>0</v>
      </c>
    </row>
    <row r="372" spans="7:7" x14ac:dyDescent="0.35">
      <c r="G372">
        <f t="shared" si="5"/>
        <v>0</v>
      </c>
    </row>
    <row r="373" spans="7:7" x14ac:dyDescent="0.35">
      <c r="G373">
        <f t="shared" si="5"/>
        <v>0</v>
      </c>
    </row>
    <row r="374" spans="7:7" x14ac:dyDescent="0.35">
      <c r="G374">
        <f t="shared" si="5"/>
        <v>0</v>
      </c>
    </row>
    <row r="375" spans="7:7" x14ac:dyDescent="0.35">
      <c r="G375">
        <f t="shared" si="5"/>
        <v>0</v>
      </c>
    </row>
    <row r="376" spans="7:7" x14ac:dyDescent="0.35">
      <c r="G376">
        <f t="shared" si="5"/>
        <v>0</v>
      </c>
    </row>
    <row r="377" spans="7:7" x14ac:dyDescent="0.35">
      <c r="G377">
        <f t="shared" si="5"/>
        <v>0</v>
      </c>
    </row>
    <row r="378" spans="7:7" x14ac:dyDescent="0.35">
      <c r="G378">
        <f t="shared" si="5"/>
        <v>0</v>
      </c>
    </row>
    <row r="379" spans="7:7" x14ac:dyDescent="0.35">
      <c r="G379">
        <f t="shared" si="5"/>
        <v>0</v>
      </c>
    </row>
    <row r="380" spans="7:7" x14ac:dyDescent="0.35">
      <c r="G380">
        <f t="shared" si="5"/>
        <v>0</v>
      </c>
    </row>
    <row r="381" spans="7:7" x14ac:dyDescent="0.35">
      <c r="G381">
        <f t="shared" si="5"/>
        <v>0</v>
      </c>
    </row>
    <row r="382" spans="7:7" x14ac:dyDescent="0.35">
      <c r="G382">
        <f t="shared" si="5"/>
        <v>0</v>
      </c>
    </row>
    <row r="383" spans="7:7" x14ac:dyDescent="0.35">
      <c r="G383">
        <f t="shared" si="5"/>
        <v>0</v>
      </c>
    </row>
    <row r="384" spans="7:7" x14ac:dyDescent="0.35">
      <c r="G384">
        <f t="shared" si="5"/>
        <v>0</v>
      </c>
    </row>
    <row r="385" spans="7:7" x14ac:dyDescent="0.35">
      <c r="G385">
        <f t="shared" si="5"/>
        <v>0</v>
      </c>
    </row>
    <row r="386" spans="7:7" x14ac:dyDescent="0.35">
      <c r="G386">
        <f t="shared" ref="G386:G449" si="6">E386-F386</f>
        <v>0</v>
      </c>
    </row>
    <row r="387" spans="7:7" x14ac:dyDescent="0.35">
      <c r="G387">
        <f t="shared" si="6"/>
        <v>0</v>
      </c>
    </row>
    <row r="388" spans="7:7" x14ac:dyDescent="0.35">
      <c r="G388">
        <f t="shared" si="6"/>
        <v>0</v>
      </c>
    </row>
    <row r="389" spans="7:7" x14ac:dyDescent="0.35">
      <c r="G389">
        <f t="shared" si="6"/>
        <v>0</v>
      </c>
    </row>
    <row r="390" spans="7:7" x14ac:dyDescent="0.35">
      <c r="G390">
        <f t="shared" si="6"/>
        <v>0</v>
      </c>
    </row>
    <row r="391" spans="7:7" x14ac:dyDescent="0.35">
      <c r="G391">
        <f t="shared" si="6"/>
        <v>0</v>
      </c>
    </row>
    <row r="392" spans="7:7" x14ac:dyDescent="0.35">
      <c r="G392">
        <f t="shared" si="6"/>
        <v>0</v>
      </c>
    </row>
    <row r="393" spans="7:7" x14ac:dyDescent="0.35">
      <c r="G393">
        <f t="shared" si="6"/>
        <v>0</v>
      </c>
    </row>
    <row r="394" spans="7:7" x14ac:dyDescent="0.35">
      <c r="G394">
        <f t="shared" si="6"/>
        <v>0</v>
      </c>
    </row>
    <row r="395" spans="7:7" x14ac:dyDescent="0.35">
      <c r="G395">
        <f t="shared" si="6"/>
        <v>0</v>
      </c>
    </row>
    <row r="396" spans="7:7" x14ac:dyDescent="0.35">
      <c r="G396">
        <f t="shared" si="6"/>
        <v>0</v>
      </c>
    </row>
    <row r="397" spans="7:7" x14ac:dyDescent="0.35">
      <c r="G397">
        <f t="shared" si="6"/>
        <v>0</v>
      </c>
    </row>
    <row r="398" spans="7:7" x14ac:dyDescent="0.35">
      <c r="G398">
        <f t="shared" si="6"/>
        <v>0</v>
      </c>
    </row>
    <row r="399" spans="7:7" x14ac:dyDescent="0.35">
      <c r="G399">
        <f t="shared" si="6"/>
        <v>0</v>
      </c>
    </row>
    <row r="400" spans="7:7" x14ac:dyDescent="0.35">
      <c r="G400">
        <f t="shared" si="6"/>
        <v>0</v>
      </c>
    </row>
    <row r="401" spans="7:7" x14ac:dyDescent="0.35">
      <c r="G401">
        <f t="shared" si="6"/>
        <v>0</v>
      </c>
    </row>
    <row r="402" spans="7:7" x14ac:dyDescent="0.35">
      <c r="G402">
        <f t="shared" si="6"/>
        <v>0</v>
      </c>
    </row>
    <row r="403" spans="7:7" x14ac:dyDescent="0.35">
      <c r="G403">
        <f t="shared" si="6"/>
        <v>0</v>
      </c>
    </row>
    <row r="404" spans="7:7" x14ac:dyDescent="0.35">
      <c r="G404">
        <f t="shared" si="6"/>
        <v>0</v>
      </c>
    </row>
    <row r="405" spans="7:7" x14ac:dyDescent="0.35">
      <c r="G405">
        <f t="shared" si="6"/>
        <v>0</v>
      </c>
    </row>
    <row r="406" spans="7:7" x14ac:dyDescent="0.35">
      <c r="G406">
        <f t="shared" si="6"/>
        <v>0</v>
      </c>
    </row>
    <row r="407" spans="7:7" x14ac:dyDescent="0.35">
      <c r="G407">
        <f t="shared" si="6"/>
        <v>0</v>
      </c>
    </row>
    <row r="408" spans="7:7" x14ac:dyDescent="0.35">
      <c r="G408">
        <f t="shared" si="6"/>
        <v>0</v>
      </c>
    </row>
    <row r="409" spans="7:7" x14ac:dyDescent="0.35">
      <c r="G409">
        <f t="shared" si="6"/>
        <v>0</v>
      </c>
    </row>
    <row r="410" spans="7:7" x14ac:dyDescent="0.35">
      <c r="G410">
        <f t="shared" si="6"/>
        <v>0</v>
      </c>
    </row>
    <row r="411" spans="7:7" x14ac:dyDescent="0.35">
      <c r="G411">
        <f t="shared" si="6"/>
        <v>0</v>
      </c>
    </row>
    <row r="412" spans="7:7" x14ac:dyDescent="0.35">
      <c r="G412">
        <f t="shared" si="6"/>
        <v>0</v>
      </c>
    </row>
    <row r="413" spans="7:7" x14ac:dyDescent="0.35">
      <c r="G413">
        <f t="shared" si="6"/>
        <v>0</v>
      </c>
    </row>
    <row r="414" spans="7:7" x14ac:dyDescent="0.35">
      <c r="G414">
        <f t="shared" si="6"/>
        <v>0</v>
      </c>
    </row>
    <row r="415" spans="7:7" x14ac:dyDescent="0.35">
      <c r="G415">
        <f t="shared" si="6"/>
        <v>0</v>
      </c>
    </row>
    <row r="416" spans="7:7" x14ac:dyDescent="0.35">
      <c r="G416">
        <f t="shared" si="6"/>
        <v>0</v>
      </c>
    </row>
    <row r="417" spans="7:7" x14ac:dyDescent="0.35">
      <c r="G417">
        <f t="shared" si="6"/>
        <v>0</v>
      </c>
    </row>
    <row r="418" spans="7:7" x14ac:dyDescent="0.35">
      <c r="G418">
        <f t="shared" si="6"/>
        <v>0</v>
      </c>
    </row>
    <row r="419" spans="7:7" x14ac:dyDescent="0.35">
      <c r="G419">
        <f t="shared" si="6"/>
        <v>0</v>
      </c>
    </row>
    <row r="420" spans="7:7" x14ac:dyDescent="0.35">
      <c r="G420">
        <f t="shared" si="6"/>
        <v>0</v>
      </c>
    </row>
    <row r="421" spans="7:7" x14ac:dyDescent="0.35">
      <c r="G421">
        <f t="shared" si="6"/>
        <v>0</v>
      </c>
    </row>
    <row r="422" spans="7:7" x14ac:dyDescent="0.35">
      <c r="G422">
        <f t="shared" si="6"/>
        <v>0</v>
      </c>
    </row>
    <row r="423" spans="7:7" x14ac:dyDescent="0.35">
      <c r="G423">
        <f t="shared" si="6"/>
        <v>0</v>
      </c>
    </row>
    <row r="424" spans="7:7" x14ac:dyDescent="0.35">
      <c r="G424">
        <f t="shared" si="6"/>
        <v>0</v>
      </c>
    </row>
    <row r="425" spans="7:7" x14ac:dyDescent="0.35">
      <c r="G425">
        <f t="shared" si="6"/>
        <v>0</v>
      </c>
    </row>
    <row r="426" spans="7:7" x14ac:dyDescent="0.35">
      <c r="G426">
        <f t="shared" si="6"/>
        <v>0</v>
      </c>
    </row>
    <row r="427" spans="7:7" x14ac:dyDescent="0.35">
      <c r="G427">
        <f t="shared" si="6"/>
        <v>0</v>
      </c>
    </row>
    <row r="428" spans="7:7" x14ac:dyDescent="0.35">
      <c r="G428">
        <f t="shared" si="6"/>
        <v>0</v>
      </c>
    </row>
    <row r="429" spans="7:7" x14ac:dyDescent="0.35">
      <c r="G429">
        <f t="shared" si="6"/>
        <v>0</v>
      </c>
    </row>
    <row r="430" spans="7:7" x14ac:dyDescent="0.35">
      <c r="G430">
        <f t="shared" si="6"/>
        <v>0</v>
      </c>
    </row>
    <row r="431" spans="7:7" x14ac:dyDescent="0.35">
      <c r="G431">
        <f t="shared" si="6"/>
        <v>0</v>
      </c>
    </row>
    <row r="432" spans="7:7" x14ac:dyDescent="0.35">
      <c r="G432">
        <f t="shared" si="6"/>
        <v>0</v>
      </c>
    </row>
    <row r="433" spans="7:7" x14ac:dyDescent="0.35">
      <c r="G433">
        <f t="shared" si="6"/>
        <v>0</v>
      </c>
    </row>
    <row r="434" spans="7:7" x14ac:dyDescent="0.35">
      <c r="G434">
        <f t="shared" si="6"/>
        <v>0</v>
      </c>
    </row>
    <row r="435" spans="7:7" x14ac:dyDescent="0.35">
      <c r="G435">
        <f t="shared" si="6"/>
        <v>0</v>
      </c>
    </row>
    <row r="436" spans="7:7" x14ac:dyDescent="0.35">
      <c r="G436">
        <f t="shared" si="6"/>
        <v>0</v>
      </c>
    </row>
    <row r="437" spans="7:7" x14ac:dyDescent="0.35">
      <c r="G437">
        <f t="shared" si="6"/>
        <v>0</v>
      </c>
    </row>
    <row r="438" spans="7:7" x14ac:dyDescent="0.35">
      <c r="G438">
        <f t="shared" si="6"/>
        <v>0</v>
      </c>
    </row>
    <row r="439" spans="7:7" x14ac:dyDescent="0.35">
      <c r="G439">
        <f t="shared" si="6"/>
        <v>0</v>
      </c>
    </row>
    <row r="440" spans="7:7" x14ac:dyDescent="0.35">
      <c r="G440">
        <f t="shared" si="6"/>
        <v>0</v>
      </c>
    </row>
    <row r="441" spans="7:7" x14ac:dyDescent="0.35">
      <c r="G441">
        <f t="shared" si="6"/>
        <v>0</v>
      </c>
    </row>
    <row r="442" spans="7:7" x14ac:dyDescent="0.35">
      <c r="G442">
        <f t="shared" si="6"/>
        <v>0</v>
      </c>
    </row>
    <row r="443" spans="7:7" x14ac:dyDescent="0.35">
      <c r="G443">
        <f t="shared" si="6"/>
        <v>0</v>
      </c>
    </row>
    <row r="444" spans="7:7" x14ac:dyDescent="0.35">
      <c r="G444">
        <f t="shared" si="6"/>
        <v>0</v>
      </c>
    </row>
    <row r="445" spans="7:7" x14ac:dyDescent="0.35">
      <c r="G445">
        <f t="shared" si="6"/>
        <v>0</v>
      </c>
    </row>
    <row r="446" spans="7:7" x14ac:dyDescent="0.35">
      <c r="G446">
        <f t="shared" si="6"/>
        <v>0</v>
      </c>
    </row>
    <row r="447" spans="7:7" x14ac:dyDescent="0.35">
      <c r="G447">
        <f t="shared" si="6"/>
        <v>0</v>
      </c>
    </row>
    <row r="448" spans="7:7" x14ac:dyDescent="0.35">
      <c r="G448">
        <f t="shared" si="6"/>
        <v>0</v>
      </c>
    </row>
    <row r="449" spans="7:7" x14ac:dyDescent="0.35">
      <c r="G449">
        <f t="shared" si="6"/>
        <v>0</v>
      </c>
    </row>
    <row r="450" spans="7:7" x14ac:dyDescent="0.35">
      <c r="G450">
        <f t="shared" ref="G450:G500" si="7">E450-F450</f>
        <v>0</v>
      </c>
    </row>
    <row r="451" spans="7:7" x14ac:dyDescent="0.35">
      <c r="G451">
        <f t="shared" si="7"/>
        <v>0</v>
      </c>
    </row>
    <row r="452" spans="7:7" x14ac:dyDescent="0.35">
      <c r="G452">
        <f t="shared" si="7"/>
        <v>0</v>
      </c>
    </row>
    <row r="453" spans="7:7" x14ac:dyDescent="0.35">
      <c r="G453">
        <f t="shared" si="7"/>
        <v>0</v>
      </c>
    </row>
    <row r="454" spans="7:7" x14ac:dyDescent="0.35">
      <c r="G454">
        <f t="shared" si="7"/>
        <v>0</v>
      </c>
    </row>
    <row r="455" spans="7:7" x14ac:dyDescent="0.35">
      <c r="G455">
        <f t="shared" si="7"/>
        <v>0</v>
      </c>
    </row>
    <row r="456" spans="7:7" x14ac:dyDescent="0.35">
      <c r="G456">
        <f t="shared" si="7"/>
        <v>0</v>
      </c>
    </row>
    <row r="457" spans="7:7" x14ac:dyDescent="0.35">
      <c r="G457">
        <f t="shared" si="7"/>
        <v>0</v>
      </c>
    </row>
    <row r="458" spans="7:7" x14ac:dyDescent="0.35">
      <c r="G458">
        <f t="shared" si="7"/>
        <v>0</v>
      </c>
    </row>
    <row r="459" spans="7:7" x14ac:dyDescent="0.35">
      <c r="G459">
        <f t="shared" si="7"/>
        <v>0</v>
      </c>
    </row>
    <row r="460" spans="7:7" x14ac:dyDescent="0.35">
      <c r="G460">
        <f t="shared" si="7"/>
        <v>0</v>
      </c>
    </row>
    <row r="461" spans="7:7" x14ac:dyDescent="0.35">
      <c r="G461">
        <f t="shared" si="7"/>
        <v>0</v>
      </c>
    </row>
    <row r="462" spans="7:7" x14ac:dyDescent="0.35">
      <c r="G462">
        <f t="shared" si="7"/>
        <v>0</v>
      </c>
    </row>
    <row r="463" spans="7:7" x14ac:dyDescent="0.35">
      <c r="G463">
        <f t="shared" si="7"/>
        <v>0</v>
      </c>
    </row>
    <row r="464" spans="7:7" x14ac:dyDescent="0.35">
      <c r="G464">
        <f t="shared" si="7"/>
        <v>0</v>
      </c>
    </row>
    <row r="465" spans="7:7" x14ac:dyDescent="0.35">
      <c r="G465">
        <f t="shared" si="7"/>
        <v>0</v>
      </c>
    </row>
    <row r="466" spans="7:7" x14ac:dyDescent="0.35">
      <c r="G466">
        <f t="shared" si="7"/>
        <v>0</v>
      </c>
    </row>
    <row r="467" spans="7:7" x14ac:dyDescent="0.35">
      <c r="G467">
        <f t="shared" si="7"/>
        <v>0</v>
      </c>
    </row>
    <row r="468" spans="7:7" x14ac:dyDescent="0.35">
      <c r="G468">
        <f t="shared" si="7"/>
        <v>0</v>
      </c>
    </row>
    <row r="469" spans="7:7" x14ac:dyDescent="0.35">
      <c r="G469">
        <f t="shared" si="7"/>
        <v>0</v>
      </c>
    </row>
    <row r="470" spans="7:7" x14ac:dyDescent="0.35">
      <c r="G470">
        <f t="shared" si="7"/>
        <v>0</v>
      </c>
    </row>
    <row r="471" spans="7:7" x14ac:dyDescent="0.35">
      <c r="G471">
        <f t="shared" si="7"/>
        <v>0</v>
      </c>
    </row>
    <row r="472" spans="7:7" x14ac:dyDescent="0.35">
      <c r="G472">
        <f t="shared" si="7"/>
        <v>0</v>
      </c>
    </row>
    <row r="473" spans="7:7" x14ac:dyDescent="0.35">
      <c r="G473">
        <f t="shared" si="7"/>
        <v>0</v>
      </c>
    </row>
    <row r="474" spans="7:7" x14ac:dyDescent="0.35">
      <c r="G474">
        <f t="shared" si="7"/>
        <v>0</v>
      </c>
    </row>
    <row r="475" spans="7:7" x14ac:dyDescent="0.35">
      <c r="G475">
        <f t="shared" si="7"/>
        <v>0</v>
      </c>
    </row>
    <row r="476" spans="7:7" x14ac:dyDescent="0.35">
      <c r="G476">
        <f t="shared" si="7"/>
        <v>0</v>
      </c>
    </row>
    <row r="477" spans="7:7" x14ac:dyDescent="0.35">
      <c r="G477">
        <f t="shared" si="7"/>
        <v>0</v>
      </c>
    </row>
    <row r="478" spans="7:7" x14ac:dyDescent="0.35">
      <c r="G478">
        <f t="shared" si="7"/>
        <v>0</v>
      </c>
    </row>
    <row r="479" spans="7:7" x14ac:dyDescent="0.35">
      <c r="G479">
        <f t="shared" si="7"/>
        <v>0</v>
      </c>
    </row>
    <row r="480" spans="7:7" x14ac:dyDescent="0.35">
      <c r="G480">
        <f t="shared" si="7"/>
        <v>0</v>
      </c>
    </row>
    <row r="481" spans="7:7" x14ac:dyDescent="0.35">
      <c r="G481">
        <f t="shared" si="7"/>
        <v>0</v>
      </c>
    </row>
    <row r="482" spans="7:7" x14ac:dyDescent="0.35">
      <c r="G482">
        <f t="shared" si="7"/>
        <v>0</v>
      </c>
    </row>
    <row r="483" spans="7:7" x14ac:dyDescent="0.35">
      <c r="G483">
        <f t="shared" si="7"/>
        <v>0</v>
      </c>
    </row>
    <row r="484" spans="7:7" x14ac:dyDescent="0.35">
      <c r="G484">
        <f t="shared" si="7"/>
        <v>0</v>
      </c>
    </row>
    <row r="485" spans="7:7" x14ac:dyDescent="0.35">
      <c r="G485">
        <f t="shared" si="7"/>
        <v>0</v>
      </c>
    </row>
    <row r="486" spans="7:7" x14ac:dyDescent="0.35">
      <c r="G486">
        <f t="shared" si="7"/>
        <v>0</v>
      </c>
    </row>
    <row r="487" spans="7:7" x14ac:dyDescent="0.35">
      <c r="G487">
        <f t="shared" si="7"/>
        <v>0</v>
      </c>
    </row>
    <row r="488" spans="7:7" x14ac:dyDescent="0.35">
      <c r="G488">
        <f t="shared" si="7"/>
        <v>0</v>
      </c>
    </row>
    <row r="489" spans="7:7" x14ac:dyDescent="0.35">
      <c r="G489">
        <f t="shared" si="7"/>
        <v>0</v>
      </c>
    </row>
    <row r="490" spans="7:7" x14ac:dyDescent="0.35">
      <c r="G490">
        <f t="shared" si="7"/>
        <v>0</v>
      </c>
    </row>
    <row r="491" spans="7:7" x14ac:dyDescent="0.35">
      <c r="G491">
        <f t="shared" si="7"/>
        <v>0</v>
      </c>
    </row>
    <row r="492" spans="7:7" x14ac:dyDescent="0.35">
      <c r="G492">
        <f t="shared" si="7"/>
        <v>0</v>
      </c>
    </row>
    <row r="493" spans="7:7" x14ac:dyDescent="0.35">
      <c r="G493">
        <f t="shared" si="7"/>
        <v>0</v>
      </c>
    </row>
    <row r="494" spans="7:7" x14ac:dyDescent="0.35">
      <c r="G494">
        <f t="shared" si="7"/>
        <v>0</v>
      </c>
    </row>
    <row r="495" spans="7:7" x14ac:dyDescent="0.35">
      <c r="G495">
        <f t="shared" si="7"/>
        <v>0</v>
      </c>
    </row>
    <row r="496" spans="7:7" x14ac:dyDescent="0.35">
      <c r="G496">
        <f t="shared" si="7"/>
        <v>0</v>
      </c>
    </row>
    <row r="497" spans="7:7" x14ac:dyDescent="0.35">
      <c r="G497">
        <f t="shared" si="7"/>
        <v>0</v>
      </c>
    </row>
    <row r="498" spans="7:7" x14ac:dyDescent="0.35">
      <c r="G498">
        <f t="shared" si="7"/>
        <v>0</v>
      </c>
    </row>
    <row r="499" spans="7:7" x14ac:dyDescent="0.35">
      <c r="G499">
        <f t="shared" si="7"/>
        <v>0</v>
      </c>
    </row>
    <row r="500" spans="7:7" x14ac:dyDescent="0.35">
      <c r="G500">
        <f t="shared" si="7"/>
        <v>0</v>
      </c>
    </row>
  </sheetData>
  <dataValidations count="1">
    <dataValidation type="list" allowBlank="1" sqref="H2:H500" xr:uid="{F075DF51-6B41-4FAE-9211-B6955888ED78}">
      <formula1>"Payé,Partiel,Impayé"</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3379-4028-40F2-8AEE-4CA3C75C2852}">
  <dimension ref="A1:Q13"/>
  <sheetViews>
    <sheetView zoomScaleNormal="100" workbookViewId="0">
      <pane xSplit="3" ySplit="3" topLeftCell="E4" activePane="bottomRight" state="frozen"/>
      <selection pane="topRight" activeCell="D1" sqref="D1"/>
      <selection pane="bottomLeft" activeCell="A4" sqref="A4"/>
      <selection pane="bottomRight" activeCell="E5" sqref="E5:L6"/>
    </sheetView>
  </sheetViews>
  <sheetFormatPr baseColWidth="10" defaultColWidth="8.6328125" defaultRowHeight="14.5" x14ac:dyDescent="0.35"/>
  <cols>
    <col min="1" max="1" width="5" style="120" customWidth="1"/>
    <col min="2" max="2" width="13" style="120" customWidth="1"/>
    <col min="3" max="3" width="24" style="120" customWidth="1"/>
    <col min="4" max="4" width="26.90625" style="120" customWidth="1"/>
    <col min="5" max="16" width="14" style="120" customWidth="1"/>
    <col min="17" max="17" width="16" style="120" customWidth="1"/>
    <col min="18" max="16384" width="8.6328125" style="120"/>
  </cols>
  <sheetData>
    <row r="1" spans="1:17" ht="36" customHeight="1" x14ac:dyDescent="0.35">
      <c r="A1" s="174" t="s">
        <v>208</v>
      </c>
      <c r="B1" s="174"/>
      <c r="C1" s="174"/>
      <c r="D1" s="174"/>
      <c r="E1" s="174"/>
      <c r="F1" s="174"/>
      <c r="G1" s="174"/>
      <c r="H1" s="174"/>
      <c r="I1" s="174"/>
      <c r="J1" s="174"/>
      <c r="K1" s="174"/>
      <c r="L1" s="174"/>
      <c r="M1" s="174"/>
      <c r="N1" s="174"/>
      <c r="O1" s="174"/>
      <c r="P1" s="174"/>
    </row>
    <row r="2" spans="1:17" ht="18" customHeight="1" x14ac:dyDescent="0.35">
      <c r="A2" s="175" t="s">
        <v>209</v>
      </c>
      <c r="B2" s="175"/>
      <c r="C2" s="175"/>
      <c r="D2" s="175"/>
      <c r="E2" s="175"/>
      <c r="F2" s="175"/>
      <c r="G2" s="175"/>
      <c r="H2" s="175"/>
      <c r="I2" s="175"/>
      <c r="J2" s="175"/>
      <c r="K2" s="175"/>
      <c r="L2" s="175"/>
      <c r="M2" s="175"/>
      <c r="N2" s="175"/>
      <c r="O2" s="175"/>
      <c r="P2" s="175"/>
    </row>
    <row r="3" spans="1:17" ht="6" customHeight="1" x14ac:dyDescent="0.35"/>
    <row r="4" spans="1:17" ht="21.75" customHeight="1" x14ac:dyDescent="0.35">
      <c r="A4" s="121" t="s">
        <v>106</v>
      </c>
      <c r="B4" s="121" t="s">
        <v>210</v>
      </c>
      <c r="C4" s="121" t="s">
        <v>211</v>
      </c>
      <c r="D4" s="121" t="s">
        <v>212</v>
      </c>
      <c r="E4" s="122" t="s">
        <v>14</v>
      </c>
      <c r="F4" s="122" t="s">
        <v>36</v>
      </c>
      <c r="G4" s="122" t="s">
        <v>216</v>
      </c>
      <c r="H4" s="122" t="s">
        <v>37</v>
      </c>
      <c r="I4" s="122" t="s">
        <v>83</v>
      </c>
      <c r="J4" s="122" t="s">
        <v>93</v>
      </c>
      <c r="K4" s="122" t="s">
        <v>153</v>
      </c>
      <c r="L4" s="122" t="s">
        <v>165</v>
      </c>
      <c r="M4" s="122" t="s">
        <v>172</v>
      </c>
      <c r="N4" s="122" t="s">
        <v>213</v>
      </c>
      <c r="O4" s="122" t="s">
        <v>214</v>
      </c>
      <c r="P4" s="122" t="s">
        <v>215</v>
      </c>
      <c r="Q4" s="123" t="s">
        <v>217</v>
      </c>
    </row>
    <row r="5" spans="1:17" ht="19.5" customHeight="1" x14ac:dyDescent="0.35">
      <c r="A5" s="124">
        <v>1</v>
      </c>
      <c r="B5" s="125" t="s">
        <v>218</v>
      </c>
      <c r="C5" s="126" t="s">
        <v>224</v>
      </c>
      <c r="D5" s="127" t="s">
        <v>226</v>
      </c>
      <c r="E5" s="128" t="s">
        <v>227</v>
      </c>
      <c r="F5" s="128">
        <v>100000</v>
      </c>
      <c r="G5" s="128">
        <v>100000</v>
      </c>
      <c r="H5" s="128">
        <v>100000</v>
      </c>
      <c r="I5" s="128">
        <v>100000</v>
      </c>
      <c r="J5" s="128">
        <v>100000</v>
      </c>
      <c r="K5" s="128">
        <v>100000</v>
      </c>
      <c r="L5" s="128">
        <v>100000</v>
      </c>
      <c r="M5" s="128"/>
      <c r="N5" s="128"/>
      <c r="O5" s="128"/>
      <c r="P5" s="128"/>
      <c r="Q5" s="129">
        <f t="shared" ref="Q5:Q6" si="0">SUM(E5:P5)</f>
        <v>700000</v>
      </c>
    </row>
    <row r="6" spans="1:17" ht="19.5" customHeight="1" x14ac:dyDescent="0.35">
      <c r="A6" s="130">
        <v>2</v>
      </c>
      <c r="B6" s="125" t="s">
        <v>220</v>
      </c>
      <c r="C6" s="131" t="s">
        <v>225</v>
      </c>
      <c r="D6" s="127" t="s">
        <v>219</v>
      </c>
      <c r="E6" s="128">
        <v>100000</v>
      </c>
      <c r="F6" s="128">
        <v>100000</v>
      </c>
      <c r="G6" s="128">
        <v>100000</v>
      </c>
      <c r="H6" s="128">
        <v>100000</v>
      </c>
      <c r="I6" s="128">
        <v>100000</v>
      </c>
      <c r="J6" s="128">
        <v>100000</v>
      </c>
      <c r="K6" s="128">
        <v>100000</v>
      </c>
      <c r="L6" s="128">
        <v>100000</v>
      </c>
      <c r="M6" s="133"/>
      <c r="N6" s="133"/>
      <c r="O6" s="133"/>
      <c r="P6" s="133"/>
      <c r="Q6" s="129">
        <f t="shared" si="0"/>
        <v>800000</v>
      </c>
    </row>
    <row r="7" spans="1:17" ht="19.5" customHeight="1" x14ac:dyDescent="0.35">
      <c r="A7" s="124"/>
      <c r="B7" s="134"/>
      <c r="C7" s="126"/>
      <c r="D7" s="127"/>
      <c r="E7" s="135"/>
      <c r="F7" s="135"/>
      <c r="G7" s="135"/>
      <c r="H7" s="135"/>
      <c r="I7" s="135"/>
      <c r="J7" s="135"/>
      <c r="K7" s="135"/>
      <c r="L7" s="135"/>
      <c r="M7" s="135"/>
      <c r="N7" s="135"/>
      <c r="O7" s="135"/>
      <c r="P7" s="135"/>
      <c r="Q7" s="136"/>
    </row>
    <row r="8" spans="1:17" ht="19.5" customHeight="1" x14ac:dyDescent="0.35">
      <c r="A8" s="130"/>
      <c r="B8" s="137"/>
      <c r="C8" s="131"/>
      <c r="D8" s="132"/>
      <c r="E8" s="135"/>
      <c r="F8" s="135"/>
      <c r="G8" s="135"/>
      <c r="H8" s="135"/>
      <c r="I8" s="135"/>
      <c r="J8" s="135"/>
      <c r="K8" s="135"/>
      <c r="L8" s="135"/>
      <c r="M8" s="135"/>
      <c r="N8" s="135"/>
      <c r="O8" s="135"/>
      <c r="P8" s="135"/>
      <c r="Q8" s="136"/>
    </row>
    <row r="9" spans="1:17" ht="7.5" customHeight="1" x14ac:dyDescent="0.35"/>
    <row r="10" spans="1:17" ht="27.75" customHeight="1" x14ac:dyDescent="0.35">
      <c r="A10" s="176" t="s">
        <v>221</v>
      </c>
      <c r="B10" s="176"/>
      <c r="C10" s="176"/>
      <c r="D10" s="176"/>
      <c r="E10" s="138">
        <f t="shared" ref="E10:Q10" si="1">SUM(E5:E8)</f>
        <v>100000</v>
      </c>
      <c r="F10" s="138">
        <f t="shared" si="1"/>
        <v>200000</v>
      </c>
      <c r="G10" s="138">
        <f t="shared" si="1"/>
        <v>200000</v>
      </c>
      <c r="H10" s="138">
        <f t="shared" si="1"/>
        <v>200000</v>
      </c>
      <c r="I10" s="138">
        <f t="shared" si="1"/>
        <v>200000</v>
      </c>
      <c r="J10" s="138">
        <f t="shared" si="1"/>
        <v>200000</v>
      </c>
      <c r="K10" s="138">
        <f t="shared" si="1"/>
        <v>200000</v>
      </c>
      <c r="L10" s="138">
        <f t="shared" si="1"/>
        <v>200000</v>
      </c>
      <c r="M10" s="138">
        <f t="shared" si="1"/>
        <v>0</v>
      </c>
      <c r="N10" s="138">
        <f t="shared" si="1"/>
        <v>0</v>
      </c>
      <c r="O10" s="138">
        <f t="shared" si="1"/>
        <v>0</v>
      </c>
      <c r="P10" s="138">
        <f t="shared" si="1"/>
        <v>0</v>
      </c>
      <c r="Q10" s="139">
        <f t="shared" si="1"/>
        <v>1500000</v>
      </c>
    </row>
    <row r="11" spans="1:17" ht="21.75" customHeight="1" x14ac:dyDescent="0.35">
      <c r="A11" s="177" t="s">
        <v>222</v>
      </c>
      <c r="B11" s="177"/>
      <c r="C11" s="177"/>
      <c r="D11" s="177"/>
      <c r="E11" s="140">
        <f t="shared" ref="E11:Q11" si="2">IFERROR(E10/COUNTIF(E5:E8,"&gt;0"),"-")</f>
        <v>100000</v>
      </c>
      <c r="F11" s="140">
        <f t="shared" si="2"/>
        <v>100000</v>
      </c>
      <c r="G11" s="140">
        <f t="shared" si="2"/>
        <v>100000</v>
      </c>
      <c r="H11" s="140">
        <f t="shared" si="2"/>
        <v>100000</v>
      </c>
      <c r="I11" s="140">
        <f t="shared" si="2"/>
        <v>100000</v>
      </c>
      <c r="J11" s="140">
        <f t="shared" si="2"/>
        <v>100000</v>
      </c>
      <c r="K11" s="140">
        <f t="shared" si="2"/>
        <v>100000</v>
      </c>
      <c r="L11" s="140">
        <f t="shared" si="2"/>
        <v>100000</v>
      </c>
      <c r="M11" s="140" t="str">
        <f t="shared" si="2"/>
        <v>-</v>
      </c>
      <c r="N11" s="140" t="str">
        <f t="shared" si="2"/>
        <v>-</v>
      </c>
      <c r="O11" s="140" t="str">
        <f t="shared" si="2"/>
        <v>-</v>
      </c>
      <c r="P11" s="140" t="str">
        <f t="shared" si="2"/>
        <v>-</v>
      </c>
      <c r="Q11" s="140">
        <f t="shared" si="2"/>
        <v>750000</v>
      </c>
    </row>
    <row r="13" spans="1:17" ht="18" customHeight="1" x14ac:dyDescent="0.35">
      <c r="A13" s="178" t="s">
        <v>223</v>
      </c>
      <c r="B13" s="178"/>
      <c r="C13" s="178"/>
      <c r="D13" s="178"/>
      <c r="E13" s="178"/>
      <c r="F13" s="178"/>
      <c r="G13" s="178"/>
      <c r="H13" s="178"/>
      <c r="I13" s="178"/>
      <c r="J13" s="178"/>
      <c r="K13" s="178"/>
      <c r="L13" s="178"/>
      <c r="M13" s="178"/>
      <c r="N13" s="178"/>
      <c r="O13" s="178"/>
      <c r="P13" s="178"/>
    </row>
  </sheetData>
  <mergeCells count="5">
    <mergeCell ref="A1:P1"/>
    <mergeCell ref="A2:P2"/>
    <mergeCell ref="A10:D10"/>
    <mergeCell ref="A11:D11"/>
    <mergeCell ref="A13:P13"/>
  </mergeCells>
  <phoneticPr fontId="1"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Recettes Journaliere Octobre</vt:lpstr>
      <vt:lpstr>Recettes Journaliere Novembre</vt:lpstr>
      <vt:lpstr>Recettes Journaliere Decembre</vt:lpstr>
      <vt:lpstr>Recettes Journaliere Janvie</vt:lpstr>
      <vt:lpstr>Recettes Journaliere Février</vt:lpstr>
      <vt:lpstr>Recettes Journaliere Mars </vt:lpstr>
      <vt:lpstr>Recettes Journaliere Avril</vt:lpstr>
      <vt:lpstr>Recettes Journaliere Mai</vt:lpstr>
      <vt:lpstr>Juin </vt:lpstr>
      <vt:lpstr>Juillet</vt:lpstr>
      <vt:lpstr>Aout</vt:lpstr>
      <vt:lpstr>Septembre</vt:lpstr>
      <vt:lpstr>Recettes Mensuel</vt:lpstr>
      <vt:lpstr>Versement Bancaire</vt:lpstr>
      <vt:lpstr>Versement Bancaire Rembouseemen</vt:lpstr>
      <vt:lpstr>Suivi Remboursement</vt:lpstr>
      <vt:lpstr>Flotte Automobile</vt:lpstr>
      <vt:lpstr>Suivi Assurance</vt:lpstr>
      <vt:lpstr>Suivi Annuel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i7</cp:lastModifiedBy>
  <dcterms:created xsi:type="dcterms:W3CDTF">2025-10-15T21:45:41Z</dcterms:created>
  <dcterms:modified xsi:type="dcterms:W3CDTF">2026-09-23T10:04:22Z</dcterms:modified>
</cp:coreProperties>
</file>